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hongy\Downloads\gumroad交付品上架管理\直接放github\"/>
    </mc:Choice>
  </mc:AlternateContent>
  <xr:revisionPtr revIDLastSave="0" documentId="13_ncr:1_{31D7514E-D417-4C74-B5B3-7010061616B6}" xr6:coauthVersionLast="47" xr6:coauthVersionMax="47" xr10:uidLastSave="{00000000-0000-0000-0000-000000000000}"/>
  <bookViews>
    <workbookView xWindow="43080" yWindow="-120" windowWidth="29040" windowHeight="15720" activeTab="3" xr2:uid="{00000000-000D-0000-FFFF-FFFF00000000}"/>
  </bookViews>
  <sheets>
    <sheet name="01_Setup_Scenarios" sheetId="1" r:id="rId1"/>
    <sheet name="02_Assumptions" sheetId="2" r:id="rId2"/>
    <sheet name="03_Calculation_Engine" sheetId="3" r:id="rId3"/>
    <sheet name="04_Summary_Dashboard" sheetId="4" r:id="rId4"/>
  </sheets>
  <definedNames>
    <definedName name="ACQUISITION_COST">'02_Assumptions'!$C$8</definedName>
    <definedName name="ACQUISITION_OUTFLOW">'03_Calculation_Engine'!$C$26:$DS$26</definedName>
    <definedName name="ACQUISITION_TAX_RATE">'02_Assumptions'!$C$9</definedName>
    <definedName name="ACTIVE_SCENARIO">'01_Setup_Scenarios'!$C$9</definedName>
    <definedName name="Amort_Bal_Bullet">_xlfn.LAMBDA(_xlpm.m,_xlpm.rate,_xlpm.tenor,_xlpm.loan,IF(_xlpm.m&gt;=_xlpm.tenor,0,_xlpm.loan))</definedName>
    <definedName name="Amort_Bal_French">_xlfn.LAMBDA(_xlpm.m,_xlpm.rate,_xlpm.tenor,_xlpm.loan,IF(_xlpm.m&gt;_xlpm.tenor,0,_xlpm.loan*((1+_xlpm.rate/12)^_xlpm.tenor-(1+_xlpm.rate/12)^_xlpm.m)/((1+_xlpm.rate/12)^_xlpm.tenor-1)))</definedName>
    <definedName name="Amort_Bal_Italian">_xlfn.LAMBDA(_xlpm.m,_xlpm.rate,_xlpm.tenor,_xlpm.loan,IF(_xlpm.m&gt;_xlpm.tenor,0,_xlpm.loan*(1-_xlpm.m/_xlpm.tenor)))</definedName>
    <definedName name="CALENDAR_DATE">'03_Calculation_Engine'!$C$7:$DS$7</definedName>
    <definedName name="CAPEX_DISTRIBUTION_CURVE">'02_Assumptions'!$C$20:$DS$20</definedName>
    <definedName name="CAPEX_TOTAL_BUDGET">'02_Assumptions'!$C$14</definedName>
    <definedName name="CUMULATIVE_CASH_FLOW_LEVERED">'03_Calculation_Engine'!$C$45:$DS$45</definedName>
    <definedName name="DEBT_AMORTIZATION_TYPE">'02_Assumptions'!$C$32</definedName>
    <definedName name="DEBT_INTEREST_RATE">'02_Assumptions'!$C$33</definedName>
    <definedName name="DEBT_TENOR_MONTHS">'02_Assumptions'!$C$34</definedName>
    <definedName name="DSCR">'03_Calculation_Engine'!$C$46:$DS$46</definedName>
    <definedName name="EQUITY_IRR">'04_Summary_Dashboard'!$E$5</definedName>
    <definedName name="EQUITY_MULTIPLE">'04_Summary_Dashboard'!$H$5</definedName>
    <definedName name="EXIT_CAP_RATE">'02_Assumptions'!$C$51</definedName>
    <definedName name="EXIT_VALUE_GROSS_M">'03_Calculation_Engine'!$C$18:$DS$18</definedName>
    <definedName name="GROSS_CAPEX">'03_Calculation_Engine'!$C$10:$DS$10</definedName>
    <definedName name="GROSS_MONTHLY_RENT_BASE">'02_Assumptions'!$C$44</definedName>
    <definedName name="GROSS_RENT_REVENUE">'03_Calculation_Engine'!$C$22:$DS$22</definedName>
    <definedName name="GROSS_SALE_PRICE">'02_Assumptions'!$C$10</definedName>
    <definedName name="LTV_RATIO">'02_Assumptions'!$C$31</definedName>
    <definedName name="MONTH_INDEX">'03_Calculation_Engine'!$C$6:$DS$6</definedName>
    <definedName name="MORTGAGE_BALANCE">'03_Calculation_Engine'!$C$28:$DS$28</definedName>
    <definedName name="MORTGAGE_DRAWDOWN">'03_Calculation_Engine'!$C$27:$DS$27</definedName>
    <definedName name="MORTGAGE_INTEREST_PMT">'03_Calculation_Engine'!$C$29:$DS$29</definedName>
    <definedName name="MORTGAGE_PRINCIPAL_PMT">'03_Calculation_Engine'!$C$30:$DS$30</definedName>
    <definedName name="NET_CAPEX_PAID">'03_Calculation_Engine'!$C$13:$DS$13</definedName>
    <definedName name="NET_CASH_FLOW_LEVERED">'03_Calculation_Engine'!$C$43:$DS$43</definedName>
    <definedName name="NET_CASH_FLOW_PRE_REVOLVING">'03_Calculation_Engine'!$C$36:$DS$36</definedName>
    <definedName name="NET_CASH_FLOW_UNLEVERED">'03_Calculation_Engine'!$C$44:$DS$44</definedName>
    <definedName name="OCCUPANCY_RATE">'02_Assumptions'!$C$45</definedName>
    <definedName name="OPERATING_EXPENSES">'03_Calculation_Engine'!$C$23:$DS$23</definedName>
    <definedName name="PEAK_EQUITY_REQUIRED">'04_Summary_Dashboard'!$K$5</definedName>
    <definedName name="PROJECT_IRR">'04_Summary_Dashboard'!$B$5</definedName>
    <definedName name="PROJECT_START_DATE">'02_Assumptions'!$C$7</definedName>
    <definedName name="PROJECT_TYPE">'01_Setup_Scenarios'!$C$6</definedName>
    <definedName name="RENT_ANNUAL_INFLATION">'02_Assumptions'!$C$46</definedName>
    <definedName name="RENTAL_OPEX_PERCENT">'02_Assumptions'!$C$43</definedName>
    <definedName name="RETENTION_RATE">'02_Assumptions'!$C$15</definedName>
    <definedName name="RETENTION_RELEASE_MONTH">'02_Assumptions'!$C$16</definedName>
    <definedName name="RETENTION_RELEASED_M">'03_Calculation_Engine'!$C$12:$DS$12</definedName>
    <definedName name="RETENTION_WITHHELD_M">'03_Calculation_Engine'!$C$11:$DS$11</definedName>
    <definedName name="REVOLVING_BALANCE">'03_Calculation_Engine'!$C$37:$DS$37</definedName>
    <definedName name="REVOLVING_DRAWDOWN">'03_Calculation_Engine'!$C$38:$DS$38</definedName>
    <definedName name="REVOLVING_INTEREST_PMT">'03_Calculation_Engine'!$C$40:$DS$40</definedName>
    <definedName name="REVOLVING_INTEREST_RATE">'02_Assumptions'!$C$39</definedName>
    <definedName name="REVOLVING_LIMIT">'02_Assumptions'!$C$38</definedName>
    <definedName name="REVOLVING_REPAYMENT">'03_Calculation_Engine'!$C$39:$DS$39</definedName>
    <definedName name="SALE_PROCEEDS_NET">'03_Calculation_Engine'!$C$33:$DS$33</definedName>
    <definedName name="SCEN_CAPEX_MULT">'01_Setup_Scenarios'!$C$19</definedName>
    <definedName name="SCEN_RATE_ADDER">'01_Setup_Scenarios'!$C$22</definedName>
    <definedName name="SCEN_RENT_MULT">'01_Setup_Scenarios'!$C$21</definedName>
    <definedName name="SCEN_SALE_MULT">'01_Setup_Scenarios'!$C$20</definedName>
    <definedName name="TARGET_EXIT_MONTH">'02_Assumptions'!$C$50</definedName>
    <definedName name="VAT_PAID_CAPEX_M">'03_Calculation_Engine'!$C$16:$DS$16</definedName>
    <definedName name="VAT_PAYABLE_ON_SALE">'03_Calculation_Engine'!$C$19:$DS$19</definedName>
    <definedName name="VAT_RATE_CAPEX">'02_Assumptions'!$C$25</definedName>
    <definedName name="VAT_RATE_SALES">'02_Assumptions'!$C$26</definedName>
    <definedName name="VAT_REFUND_LAG">'02_Assumptions'!$C$27</definedName>
    <definedName name="VAT_REFUNDS_RECEIVED">'03_Calculation_Engine'!$C$17:$DS$17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 a="1"/>
  <c r="C10" i="3" s="1"/>
  <c r="C6" i="3" a="1"/>
  <c r="C6" i="3" s="1"/>
  <c r="C21" i="2"/>
  <c r="C22" i="1" a="1"/>
  <c r="C22" i="1"/>
  <c r="C21" i="1" a="1"/>
  <c r="C21" i="1"/>
  <c r="C20" i="1" a="1"/>
  <c r="C20" i="1"/>
  <c r="C19" i="1" a="1"/>
  <c r="C19" i="1"/>
  <c r="D9" i="1"/>
  <c r="D6" i="1"/>
  <c r="C26" i="3" l="1" a="1"/>
  <c r="C26" i="3" s="1"/>
  <c r="C7" i="3" a="1"/>
  <c r="C7" i="3" s="1"/>
  <c r="C46" i="3" a="1"/>
  <c r="C46" i="3" s="1"/>
  <c r="N5" i="4" s="1"/>
  <c r="C18" i="3" a="1"/>
  <c r="C18" i="3" s="1"/>
  <c r="C28" i="3" a="1"/>
  <c r="C28" i="3" s="1"/>
  <c r="C30" i="3" s="1" a="1"/>
  <c r="C30" i="3" s="1"/>
  <c r="C27" i="3" a="1"/>
  <c r="C27" i="3" s="1"/>
  <c r="C22" i="3" a="1"/>
  <c r="C22" i="3" s="1"/>
  <c r="C23" i="3" s="1" a="1"/>
  <c r="C23" i="3" s="1"/>
  <c r="C11" i="3" a="1"/>
  <c r="C11" i="3" s="1"/>
  <c r="C12" i="3" s="1" a="1"/>
  <c r="C12" i="3" s="1"/>
  <c r="C13" i="3" s="1" a="1"/>
  <c r="C13" i="3" s="1"/>
  <c r="C16" i="3" s="1" a="1"/>
  <c r="C16" i="3" s="1"/>
  <c r="C17" i="3" s="1" a="1"/>
  <c r="C17" i="3" s="1"/>
  <c r="C19" i="3" l="1" a="1"/>
  <c r="C19" i="3" s="1"/>
  <c r="C29" i="3" a="1"/>
  <c r="C29" i="3" s="1"/>
  <c r="C33" i="3" l="1" a="1"/>
  <c r="C33" i="3" s="1"/>
  <c r="C36" i="3" s="1" a="1"/>
  <c r="C36" i="3" s="1"/>
  <c r="C37" i="3" s="1" a="1"/>
  <c r="C37" i="3" s="1"/>
  <c r="C38" i="3" l="1" a="1"/>
  <c r="C38" i="3" s="1"/>
  <c r="C40" i="3" a="1"/>
  <c r="C40" i="3" s="1"/>
  <c r="C39" i="3" a="1"/>
  <c r="C39" i="3" s="1"/>
  <c r="C43" i="3" l="1" a="1"/>
  <c r="C43" i="3" s="1"/>
  <c r="H5" i="4" l="1"/>
  <c r="E5" i="4"/>
  <c r="C45" i="3" a="1"/>
  <c r="C45" i="3" s="1"/>
  <c r="K5" i="4" s="1"/>
  <c r="C44" i="3" a="1"/>
  <c r="C44" i="3" s="1"/>
  <c r="B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9" authorId="0" shapeId="0" xr:uid="{00000000-0006-0000-0200-000002000000}">
      <text>
        <r>
          <rPr>
            <sz val="8"/>
            <color indexed="81"/>
            <rFont val="Tahoma"/>
            <family val="2"/>
          </rPr>
          <t>GAP-FILL FIELD: 
VAT_RATE_SALES exists as an assumption in the source data dictionary but no corresponding calc-engine output field was defined for it -- this mirrors the exact "VAT_RATE_SALES never applied to any cash flow line" gap already on record from the earlier version of this model. This field and SALE_PROCEEDS_NET below are the fix.</t>
        </r>
      </text>
    </comment>
    <comment ref="B22" authorId="0" shapeId="0" xr:uid="{00000000-0006-0000-0200-000003000000}">
      <text>
        <r>
          <rPr>
            <sz val="8"/>
            <color indexed="81"/>
            <rFont val="Tahoma"/>
            <family val="2"/>
          </rPr>
          <t>Modeling choice: rent recognized from RETENTION_RELEASE_MONTH (proxy for "construction substantially complete") through TARGET_EXIT_MONTH. The source spec does not define when rental income starts relative to the capex timeline -- this is a reasonable but not spec-mandated linkage.</t>
        </r>
      </text>
    </comment>
    <comment ref="B28" authorId="0" shapeId="0" xr:uid="{00000000-0006-0000-0200-000004000000}">
      <text>
        <r>
          <rPr>
            <sz val="8"/>
            <color indexed="81"/>
            <rFont val="Tahoma"/>
            <family val="2"/>
          </rPr>
          <t>Helper row (not in original data dictionary as a named field, but required as the internal building block for Interest/Principal below). Zeroing the balance at MONTH_INDEX&gt;=TARGET_EXIT_MONTH makes the "full payoff at exit" behavior fall out automatically from the Balance(m-1)-Balance(m) difference used for MORTGAGE_PRINCIPAL_PMT, without needing separate exit-specific logic.</t>
        </r>
      </text>
    </comment>
    <comment ref="B36" authorId="0" shapeId="0" xr:uid="{00000000-0006-0000-0200-000005000000}">
      <text>
        <r>
          <rPr>
            <sz val="8"/>
            <color indexed="81"/>
            <rFont val="Tahoma"/>
            <family val="2"/>
          </rPr>
          <t>Everything EXCEPT the revolving line itself. Deliberately excludes REVOLVING_INTEREST_PMT (computed on THIS same balance) -- including it here would recreate the circular reference the SCAN below exists to resolve. Interest is charged on the PRIOR month's balance inside the SCAN step instead, which is non-circular by construction.</t>
        </r>
      </text>
    </comment>
    <comment ref="B37" authorId="0" shapeId="0" xr:uid="{00000000-0006-0000-0200-000006000000}">
      <text>
        <r>
          <rPr>
            <sz val="8"/>
            <color indexed="81"/>
            <rFont val="Tahoma"/>
            <family val="2"/>
          </rPr>
          <t>HIGHEST-UNCERTAINTY FORMULA IN THIS WORKBOOK. SCAN carries the ending balance forward month to month; each step charges interest on the PRIOR balance (non-circular), nets it against that month's other cash flow, then clamps the result to [0, REVOLVING_LIMIT] to get the new balance. Reasoned through carefully but NOT verified in a real Excel session (no Excel environment available here). Stress-test first: try REVOLVING_LIMIT=0 and confirm the model shows an unfunded shortfall rather than an error or a silently-wrong number; try a deficit larger than the limit and confirm it clamps rather than going negative.</t>
        </r>
      </text>
    </comment>
    <comment ref="B40" authorId="0" shapeId="0" xr:uid="{00000000-0006-0000-0200-000007000000}">
      <text>
        <r>
          <rPr>
            <sz val="8"/>
            <color indexed="81"/>
            <rFont val="Tahoma"/>
            <family val="2"/>
          </rPr>
          <t>GAP-FILL FIELD: 
REVOLVING_INTEREST_RATE is defined as an assumption but the source data dictionary never defines an output field for the interest it generates -- added so the cost of the facility actually reaches NET_CASH_FLOW_LEVERED instead of the revolving line being modeled as interest-free.</t>
        </r>
      </text>
    </comment>
    <comment ref="B46" authorId="0" shapeId="0" xr:uid="{00000000-0006-0000-0200-000008000000}">
      <text>
        <r>
          <rPr>
            <sz val="8"/>
            <color indexed="81"/>
            <rFont val="Tahoma"/>
            <family val="2"/>
          </rPr>
          <t>GAP-FILL FIELD: 
Only economically meaningful for PROJECT_TYPE=4 (Buy-to-Rent) where debt is serviced from ongoing NOI -- shows N/A otherwise rather than a misleading ratio for strategies where debt is bridge/development finance, not NOI-serviced.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<sst xmlns="http://schemas.openxmlformats.org/spreadsheetml/2006/main" count="122" uniqueCount="118">
  <si>
    <t>Real Estate Operations Financial Model</t>
  </si>
  <si>
    <t>01 — Setup &amp; Scenarios  |  Parametric Decision Engine  |  Deal Strategy + Scenario Manager</t>
  </si>
  <si>
    <t>DEAL STRATEGY SELECTOR</t>
  </si>
  <si>
    <t>PROJECT_TYPE</t>
  </si>
  <si>
    <t>SCENARIO MANAGER</t>
  </si>
  <si>
    <t>ACTIVE_SCENARIO</t>
  </si>
  <si>
    <t>SCENARIO_MATRIX  —  cost/revenue multipliers applied globally via XLOOKUP(ACTIVE_SCENARIO, ...)</t>
  </si>
  <si>
    <t>Multiplier</t>
  </si>
  <si>
    <t>Scenario ID</t>
  </si>
  <si>
    <t>1 - Base</t>
  </si>
  <si>
    <t>2 - Upside</t>
  </si>
  <si>
    <t>3 - Downside</t>
  </si>
  <si>
    <t>Capex Cost Multiplier</t>
  </si>
  <si>
    <t>Sale Value Multiplier</t>
  </si>
  <si>
    <t>Rent Multiplier</t>
  </si>
  <si>
    <t>Debt Interest Adder (bps)</t>
  </si>
  <si>
    <t>Active Scenario -&gt; Capex Multiplier</t>
  </si>
  <si>
    <t>Active Scenario -&gt; Sale Value Multiplier</t>
  </si>
  <si>
    <t>Active Scenario -&gt; Rent Multiplier</t>
  </si>
  <si>
    <t>Active Scenario -&gt; Interest Rate Adder</t>
  </si>
  <si>
    <t>02 — Assumptions  |  Central Input Plane  |  No formulas except labels/unit conversions</t>
  </si>
  <si>
    <t>ACQUISITION</t>
  </si>
  <si>
    <t>PROJECT_START_DATE</t>
  </si>
  <si>
    <t>Project Month 0 / closing date</t>
  </si>
  <si>
    <t>ACQUISITION_COST</t>
  </si>
  <si>
    <t>Direct purchase cost of asset/land</t>
  </si>
  <si>
    <t>ACQUISITION_TAX_RATE</t>
  </si>
  <si>
    <t>Transfer tax / stamp duty / registration. Range 0-20%</t>
  </si>
  <si>
    <t>GROSS_SALE_PRICE  [gap-fill]</t>
  </si>
  <si>
    <t>NOT in original data dictionary -- added because Module 3 "Sales Engine" and Module 4 sensitivity Y-axis both reference a sale value with no corresponding assumption field defined. Used for PROJECT_TYPE 1/2/3 (direct resale). Buy-to-Rent (4) instead values exit via EXIT_CAP_RATE x trailing NOI below.</t>
  </si>
  <si>
    <t>CAPEX / DEVELOPMENT</t>
  </si>
  <si>
    <t>CAPEX_TOTAL_BUDGET</t>
  </si>
  <si>
    <t>Total construction/refurbishment cost, excl. financial costs</t>
  </si>
  <si>
    <t>RETENTION_RATE</t>
  </si>
  <si>
    <t>Pct withheld from contractor per month. Range 0-15%</t>
  </si>
  <si>
    <t>RETENTION_RELEASE_MONTH</t>
  </si>
  <si>
    <t>Month index when withheld retentions release</t>
  </si>
  <si>
    <t>CAPEX_DISTRIBUTION_CURVE  (S-Curve, sum must = 100%)</t>
  </si>
  <si>
    <t>Monthly % of CAPEX_TOTAL_BUDGET</t>
  </si>
  <si>
    <t>Checksum (must equal 100%)</t>
  </si>
  <si>
    <t>VAT PARAMETERS</t>
  </si>
  <si>
    <t>VAT_RATE_CAPEX</t>
  </si>
  <si>
    <t>VAT on Capex/construction invoices. Range 0-25%</t>
  </si>
  <si>
    <t>VAT_RATE_SALES</t>
  </si>
  <si>
    <t>VAT on asset sales</t>
  </si>
  <si>
    <t>VAT_REFUND_LAG</t>
  </si>
  <si>
    <t>Months between paying Capex VAT and cash refund. Range 0-12</t>
  </si>
  <si>
    <t>DEBT PARAMETERS</t>
  </si>
  <si>
    <t>LTV_RATIO</t>
  </si>
  <si>
    <t>Loan-to-Value, max senior mortgage principal. Range 0-90%</t>
  </si>
  <si>
    <t>DEBT_AMORTIZATION_TYPE</t>
  </si>
  <si>
    <t>1=French (const pmt)  2=Italian (const principal)  3=Bullet</t>
  </si>
  <si>
    <t>DEBT_INTEREST_RATE</t>
  </si>
  <si>
    <t>Annual nominal rate on senior debt. Range 0-15%</t>
  </si>
  <si>
    <t>DEBT_TENOR_MONTHS</t>
  </si>
  <si>
    <t>Amortization period length in months</t>
  </si>
  <si>
    <t>REVOLVING CREDIT (DEFICIT COVER)</t>
  </si>
  <si>
    <t>REVOLVING_LIMIT</t>
  </si>
  <si>
    <t>Max facility to cover operational cash deficits</t>
  </si>
  <si>
    <t>REVOLVING_INTEREST_RATE</t>
  </si>
  <si>
    <t>Annual rate on drawn revolving balance. Range 0-20%</t>
  </si>
  <si>
    <t>BUY-TO-RENT OPERATING PARAMETERS</t>
  </si>
  <si>
    <t>RENTAL_OPEX_PERCENT</t>
  </si>
  <si>
    <t>Ongoing opex as % of gross rent (PROJECT_TYPE=4 only)</t>
  </si>
  <si>
    <t>GROSS_MONTHLY_RENT_BASE  [gap-fill]</t>
  </si>
  <si>
    <t>NOT in original data dictionary -- "occupancy curves and inflation factors" are named in Module 3 prose but no base rent figure is defined anywhere. Added to make the Buy-to-Rent branch actually computable.</t>
  </si>
  <si>
    <t>OCCUPANCY_RATE  [gap-fill]</t>
  </si>
  <si>
    <t>NOT in original data dictionary -- see note above.</t>
  </si>
  <si>
    <t>RENT_ANNUAL_INFLATION  [gap-fill]</t>
  </si>
  <si>
    <t>EXIT PARAMETERS</t>
  </si>
  <si>
    <t>TARGET_EXIT_MONTH</t>
  </si>
  <si>
    <t>Month of sale -- triggers payoff + final distributions</t>
  </si>
  <si>
    <t>EXIT_CAP_RATE</t>
  </si>
  <si>
    <t>Cap rate for Buy-to-Rent NOI-based exit valuation</t>
  </si>
  <si>
    <t>03 — Calculation Engine  |  Monthly Dynamic Array  |  Month 0 -&gt; Month 120  |  Zero hardcoding</t>
  </si>
  <si>
    <t>TIMELINE</t>
  </si>
  <si>
    <t>MONTH_INDEX</t>
  </si>
  <si>
    <t>CALENDAR_DATE</t>
  </si>
  <si>
    <t>CAPEX &amp; RETENTION</t>
  </si>
  <si>
    <t>GROSS_CAPEX</t>
  </si>
  <si>
    <t>RETENTION_WITHHELD_M</t>
  </si>
  <si>
    <t>RETENTION_RELEASED_M</t>
  </si>
  <si>
    <t>NET_CAPEX_PAID</t>
  </si>
  <si>
    <t>VAT ENGINE</t>
  </si>
  <si>
    <t>VAT_PAID_CAPEX_M</t>
  </si>
  <si>
    <t>VAT_REFUNDS_RECEIVED</t>
  </si>
  <si>
    <t>EXIT_VALUE_GROSS_M</t>
  </si>
  <si>
    <t>VAT_PAYABLE_ON_SALE  [gap-fill]</t>
  </si>
  <si>
    <t>RENTAL REVENUE  (PROJECT_TYPE = 4, Buy-to-Rent, only)</t>
  </si>
  <si>
    <t>GROSS_RENT_REVENUE</t>
  </si>
  <si>
    <t>OPERATING_EXPENSES</t>
  </si>
  <si>
    <t>SENIOR DEBT  (named LAMBDA amortization, closed-form, no SCAN needed)</t>
  </si>
  <si>
    <t>ACQUISITION_OUTFLOW</t>
  </si>
  <si>
    <t>MORTGAGE_DRAWDOWN</t>
  </si>
  <si>
    <t>MORTGAGE_BALANCE</t>
  </si>
  <si>
    <t>MORTGAGE_INTEREST_PMT</t>
  </si>
  <si>
    <t>MORTGAGE_PRINCIPAL_PMT</t>
  </si>
  <si>
    <t>SALE / EXIT</t>
  </si>
  <si>
    <t>SALE_PROCEEDS_NET</t>
  </si>
  <si>
    <t>REVOLVING CREDIT  (SCAN — resolves interest/deficit circularity)</t>
  </si>
  <si>
    <t>NET_CASH_FLOW_PRE_REVOLVING</t>
  </si>
  <si>
    <t>REVOLVING_BALANCE</t>
  </si>
  <si>
    <t>REVOLVING_DRAWDOWN</t>
  </si>
  <si>
    <t>REVOLVING_REPAYMENT</t>
  </si>
  <si>
    <t>REVOLVING_INTEREST_PMT  [gap-fill]</t>
  </si>
  <si>
    <t>CONSOLIDATED CASH FLOW</t>
  </si>
  <si>
    <t>NET_CASH_FLOW_LEVERED</t>
  </si>
  <si>
    <t>NET_CASH_FLOW_UNLEVERED</t>
  </si>
  <si>
    <t>CUMULATIVE_CASH_FLOW_LEVERED</t>
  </si>
  <si>
    <t>DSCR  [gap-fill]</t>
  </si>
  <si>
    <t>04 — Summary Dashboard  |  Executive View  |  All figures link live to the Calculation Engine</t>
  </si>
  <si>
    <t>PROJECT IRR (Unlevered)</t>
  </si>
  <si>
    <t>EQUITY IRR (Levered)</t>
  </si>
  <si>
    <t>EQUITY MULTIPLE</t>
  </si>
  <si>
    <t>PEAK EQUITY REQUIRED</t>
  </si>
  <si>
    <t>DSCR (Buy-to-Rent only)</t>
  </si>
  <si>
    <t>MONTHLY CASH FLOW  —  Cumulative vs. In/Outflows</t>
  </si>
  <si>
    <t>NOTE: The four multiplier rows above (Capex/Sale/Rent/Rate) are a reasonable, minimal instantiation covering every driver referenced elsewhere in the spec. Extend this block with additional rows if your real scenarios need more drivers -- the XLOOKUP pattern scales to any row count without touching downstream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</si>
</sst>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\$#,##0"/>
    <numFmt numFmtId="166" formatCode="0.0%"/>
    <numFmt numFmtId="167" formatCode="0.00&quot;x&quot;"/>
  </numFmts>
  <fonts count="15" x14ac:knownFonts="1">
    <font>
      <sz val="11"/>
      <color theme="1"/>
      <name val="等线"/>
      <family val="2"/>
      <scheme val="minor"/>
    </font>
    <font>
      <b/>
      <sz val="18"/>
      <color rgb="FF051C2C"/>
      <name val="Garamond"/>
      <family val="2"/>
    </font>
    <font>
      <i/>
      <sz val="10"/>
      <color rgb="FF888888"/>
      <name val="等线"/>
      <family val="2"/>
    </font>
    <font>
      <b/>
      <sz val="12"/>
      <color rgb="FFFFFFFF"/>
      <name val="Garamond"/>
      <family val="2"/>
    </font>
    <font>
      <b/>
      <sz val="10"/>
      <color rgb="FF051C2C"/>
      <name val="等线"/>
      <family val="2"/>
    </font>
    <font>
      <sz val="10"/>
      <color rgb="FF1A1A2E"/>
      <name val="等线"/>
      <family val="2"/>
    </font>
    <font>
      <sz val="9"/>
      <color rgb="FF1A1A2E"/>
      <name val="等线"/>
      <family val="2"/>
    </font>
    <font>
      <b/>
      <sz val="9"/>
      <color rgb="FFFFFFFF"/>
      <name val="等线"/>
      <family val="2"/>
    </font>
    <font>
      <i/>
      <sz val="8"/>
      <color rgb="FF1039B6"/>
      <name val="等线"/>
      <family val="2"/>
    </font>
    <font>
      <i/>
      <sz val="8"/>
      <color rgb="FF888888"/>
      <name val="等线"/>
      <family val="2"/>
    </font>
    <font>
      <sz val="9"/>
      <color rgb="FFF5F5F2"/>
      <name val="等线"/>
      <family val="2"/>
    </font>
    <font>
      <i/>
      <sz val="9"/>
      <color rgb="FF888888"/>
      <name val="等线"/>
      <family val="2"/>
    </font>
    <font>
      <sz val="8"/>
      <color indexed="81"/>
      <name val="Tahoma"/>
      <family val="2"/>
    </font>
    <font>
      <b/>
      <sz val="20"/>
      <color theme="0"/>
      <name val="Garamond"/>
      <family val="2"/>
    </font>
    <font>
      <sz val="11"/>
      <color theme="0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2"/>
        <bgColor indexed="64"/>
      </patternFill>
    </fill>
    <fill>
      <patternFill patternType="solid">
        <fgColor rgb="FF051C2C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F4FA"/>
        <bgColor indexed="64"/>
      </patternFill>
    </fill>
    <fill>
      <patternFill patternType="solid">
        <fgColor rgb="FFEDEDEC"/>
        <bgColor indexed="64"/>
      </patternFill>
    </fill>
  </fills>
  <borders count="5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051C2C"/>
      </left>
      <right style="thin">
        <color rgb="FF051C2C"/>
      </right>
      <top style="thin">
        <color rgb="FF051C2C"/>
      </top>
      <bottom style="thin">
        <color rgb="FF051C2C"/>
      </bottom>
      <diagonal/>
    </border>
    <border>
      <left/>
      <right/>
      <top style="thin">
        <color rgb="FFF5F5F2"/>
      </top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0" xfId="0" applyFont="1" applyFill="1" applyAlignment="1">
      <alignment horizontal="left" indent="1"/>
    </xf>
    <xf numFmtId="0" fontId="5" fillId="4" borderId="1" xfId="0" applyFont="1" applyFill="1" applyBorder="1" applyAlignment="1">
      <alignment horizontal="left"/>
    </xf>
    <xf numFmtId="3" fontId="6" fillId="5" borderId="0" xfId="0" applyNumberFormat="1" applyFont="1" applyFill="1"/>
    <xf numFmtId="0" fontId="7" fillId="3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indent="1"/>
    </xf>
    <xf numFmtId="3" fontId="5" fillId="4" borderId="1" xfId="0" applyNumberFormat="1" applyFont="1" applyFill="1" applyBorder="1"/>
    <xf numFmtId="10" fontId="6" fillId="5" borderId="0" xfId="0" applyNumberFormat="1" applyFont="1" applyFill="1"/>
    <xf numFmtId="164" fontId="5" fillId="4" borderId="1" xfId="0" applyNumberFormat="1" applyFont="1" applyFill="1" applyBorder="1"/>
    <xf numFmtId="0" fontId="9" fillId="0" borderId="0" xfId="0" applyFont="1" applyAlignment="1">
      <alignment vertical="top" wrapText="1"/>
    </xf>
    <xf numFmtId="165" fontId="5" fillId="4" borderId="1" xfId="0" applyNumberFormat="1" applyFont="1" applyFill="1" applyBorder="1"/>
    <xf numFmtId="10" fontId="5" fillId="4" borderId="1" xfId="0" applyNumberFormat="1" applyFont="1" applyFill="1" applyBorder="1"/>
    <xf numFmtId="166" fontId="5" fillId="4" borderId="1" xfId="0" applyNumberFormat="1" applyFont="1" applyFill="1" applyBorder="1"/>
    <xf numFmtId="164" fontId="6" fillId="5" borderId="0" xfId="0" applyNumberFormat="1" applyFont="1" applyFill="1"/>
    <xf numFmtId="165" fontId="6" fillId="5" borderId="0" xfId="0" applyNumberFormat="1" applyFont="1" applyFill="1"/>
    <xf numFmtId="0" fontId="14" fillId="0" borderId="0" xfId="0" applyFont="1"/>
    <xf numFmtId="0" fontId="5" fillId="2" borderId="0" xfId="0" applyFont="1" applyFill="1" applyAlignment="1">
      <alignment horizontal="left" vertical="center" indent="1"/>
    </xf>
    <xf numFmtId="165" fontId="5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horizontal="right"/>
    </xf>
    <xf numFmtId="0" fontId="1" fillId="2" borderId="0" xfId="0" applyFont="1" applyFill="1"/>
    <xf numFmtId="0" fontId="2" fillId="2" borderId="0" xfId="0" applyFont="1" applyFill="1"/>
    <xf numFmtId="0" fontId="10" fillId="3" borderId="3" xfId="0" applyFont="1" applyFill="1" applyBorder="1" applyAlignment="1">
      <alignment horizontal="center" vertical="top"/>
    </xf>
    <xf numFmtId="10" fontId="13" fillId="3" borderId="0" xfId="0" applyNumberFormat="1" applyFont="1" applyFill="1" applyAlignment="1">
      <alignment horizontal="center"/>
    </xf>
    <xf numFmtId="0" fontId="14" fillId="3" borderId="0" xfId="0" applyFont="1" applyFill="1"/>
    <xf numFmtId="167" fontId="13" fillId="3" borderId="0" xfId="0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1" fillId="7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indent="1"/>
    </xf>
    <xf numFmtId="0" fontId="8" fillId="6" borderId="0" xfId="0" applyFont="1" applyFill="1" applyAlignment="1">
      <alignment vertical="top" wrapText="1"/>
    </xf>
  </cellXfs>
  <cellStyles count="1">
    <cellStyle name="Normal" xfId="0" builtinId="0"/>
  </cellStyles>
  <dxfs count="2">
    <dxf>
      <font>
        <color rgb="FF888888"/>
      </font>
      <fill>
        <patternFill>
          <bgColor rgb="FFE8E8E6"/>
        </patternFill>
      </fill>
    </dxf>
    <dxf>
      <font>
        <b/>
        <color rgb="FFD32F2F"/>
      </font>
      <fill>
        <patternFill>
          <bgColor rgb="FFFBE9E9"/>
        </patternFill>
      </fill>
    </dxf>
  </dxfs>
  <tableStyles count="1" defaultTableStyle="TableStyleMedium9" defaultPivotStyle="PivotStyleLight16">
    <tableStyle name="Invisible" pivot="0" table="0" count="0" xr9:uid="{24F3CFC9-446C-43DC-91A0-1E45576D10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051C2C"/>
                </a:solidFill>
                <a:latin typeface="Garamond"/>
              </a:defRPr>
            </a:pPr>
            <a:r>
              <a:rPr lang="en-US" sz="1200" baseline="0">
                <a:solidFill>
                  <a:srgbClr val="051C2C"/>
                </a:solidFill>
                <a:latin typeface="Garamond"/>
              </a:rPr>
              <a:t>Monthly Net Cash Flow vs. Cumulative Position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Cash Flow (Levered)</c:v>
          </c:tx>
          <c:spPr>
            <a:solidFill>
              <a:srgbClr val="2251FF"/>
            </a:solidFill>
            <a:ln>
              <a:noFill/>
            </a:ln>
          </c:spPr>
          <c:invertIfNegative val="0"/>
          <c:cat>
            <c:numRef>
              <c:f>'03_Calculation_Engine'!$C$6:$DS$6</c:f>
              <c:numCache>
                <c:formatCode>#,##0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'03_Calculation_Engine'!$C$43:$DS$43</c:f>
              <c:numCache>
                <c:formatCode>\$#,##0</c:formatCode>
                <c:ptCount val="121"/>
                <c:pt idx="0">
                  <c:v>-1325601.9213958215</c:v>
                </c:pt>
                <c:pt idx="1">
                  <c:v>-95804.040484108817</c:v>
                </c:pt>
                <c:pt idx="2">
                  <c:v>-111779.9833698013</c:v>
                </c:pt>
                <c:pt idx="3">
                  <c:v>-140686.49498338148</c:v>
                </c:pt>
                <c:pt idx="4">
                  <c:v>-187191.06808372075</c:v>
                </c:pt>
                <c:pt idx="5">
                  <c:v>-253213.10029076552</c:v>
                </c:pt>
                <c:pt idx="6">
                  <c:v>-333914.67708218296</c:v>
                </c:pt>
                <c:pt idx="7">
                  <c:v>-418521.85615229834</c:v>
                </c:pt>
                <c:pt idx="8">
                  <c:v>-488771.32832555781</c:v>
                </c:pt>
                <c:pt idx="9">
                  <c:v>-525975.10543414485</c:v>
                </c:pt>
                <c:pt idx="10">
                  <c:v>-517904.06382168905</c:v>
                </c:pt>
                <c:pt idx="11">
                  <c:v>-464225.08489299542</c:v>
                </c:pt>
                <c:pt idx="12">
                  <c:v>-377028.13475817954</c:v>
                </c:pt>
                <c:pt idx="13">
                  <c:v>-276130.27904161048</c:v>
                </c:pt>
                <c:pt idx="14">
                  <c:v>-181783.2011319907</c:v>
                </c:pt>
                <c:pt idx="15">
                  <c:v>-108433.62509225029</c:v>
                </c:pt>
                <c:pt idx="16">
                  <c:v>-61929.051991907851</c:v>
                </c:pt>
                <c:pt idx="17">
                  <c:v>-40350.084211026122</c:v>
                </c:pt>
                <c:pt idx="18">
                  <c:v>-230647.40815170048</c:v>
                </c:pt>
                <c:pt idx="19">
                  <c:v>-44079.936524414443</c:v>
                </c:pt>
                <c:pt idx="20">
                  <c:v>-52652.808787667862</c:v>
                </c:pt>
                <c:pt idx="21">
                  <c:v>-64111.178013686469</c:v>
                </c:pt>
                <c:pt idx="22">
                  <c:v>-72182.219626139413</c:v>
                </c:pt>
                <c:pt idx="23">
                  <c:v>-77199.052220234327</c:v>
                </c:pt>
                <c:pt idx="24">
                  <c:v>-46371.736522707775</c:v>
                </c:pt>
                <c:pt idx="25">
                  <c:v>-81340.899295587558</c:v>
                </c:pt>
                <c:pt idx="26">
                  <c:v>-82313.133587421893</c:v>
                </c:pt>
                <c:pt idx="27">
                  <c:v>-82313.133587424032</c:v>
                </c:pt>
                <c:pt idx="28">
                  <c:v>-82313.133587421602</c:v>
                </c:pt>
                <c:pt idx="29">
                  <c:v>-82313.133587421675</c:v>
                </c:pt>
                <c:pt idx="30">
                  <c:v>-82313.133587423741</c:v>
                </c:pt>
                <c:pt idx="31">
                  <c:v>-82313.133587423741</c:v>
                </c:pt>
                <c:pt idx="32">
                  <c:v>-82313.133587420656</c:v>
                </c:pt>
                <c:pt idx="33">
                  <c:v>-82313.133587422155</c:v>
                </c:pt>
                <c:pt idx="34">
                  <c:v>-82313.133587424687</c:v>
                </c:pt>
                <c:pt idx="35">
                  <c:v>-82313.133587422708</c:v>
                </c:pt>
                <c:pt idx="36">
                  <c:v>7186450.9302629903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7-444C-B0B3-0A6B04717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lineChart>
        <c:grouping val="standard"/>
        <c:varyColors val="0"/>
        <c:ser>
          <c:idx val="1"/>
          <c:order val="1"/>
          <c:tx>
            <c:v>Cumulative Cash Flow</c:v>
          </c:tx>
          <c:spPr>
            <a:ln w="28575">
              <a:solidFill>
                <a:srgbClr val="051C2C"/>
              </a:solidFill>
            </a:ln>
          </c:spPr>
          <c:marker>
            <c:symbol val="none"/>
          </c:marker>
          <c:cat>
            <c:numRef>
              <c:f>'03_Calculation_Engine'!$C$6:$DS$6</c:f>
              <c:numCache>
                <c:formatCode>#,##0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'03_Calculation_Engine'!$C$45:$DS$45</c:f>
              <c:numCache>
                <c:formatCode>\$#,##0</c:formatCode>
                <c:ptCount val="121"/>
                <c:pt idx="0">
                  <c:v>-1325601.9213958215</c:v>
                </c:pt>
                <c:pt idx="1">
                  <c:v>-1421405.9618799302</c:v>
                </c:pt>
                <c:pt idx="2">
                  <c:v>-1533185.9452497314</c:v>
                </c:pt>
                <c:pt idx="3">
                  <c:v>-1673872.4402331128</c:v>
                </c:pt>
                <c:pt idx="4">
                  <c:v>-1861063.5083168335</c:v>
                </c:pt>
                <c:pt idx="5">
                  <c:v>-2114276.608607599</c:v>
                </c:pt>
                <c:pt idx="6">
                  <c:v>-2448191.2856897819</c:v>
                </c:pt>
                <c:pt idx="7">
                  <c:v>-2866713.1418420803</c:v>
                </c:pt>
                <c:pt idx="8">
                  <c:v>-3355484.4701676383</c:v>
                </c:pt>
                <c:pt idx="9">
                  <c:v>-3881459.5756017831</c:v>
                </c:pt>
                <c:pt idx="10">
                  <c:v>-4399363.6394234719</c:v>
                </c:pt>
                <c:pt idx="11">
                  <c:v>-4863588.7243164675</c:v>
                </c:pt>
                <c:pt idx="12">
                  <c:v>-5240616.8590746466</c:v>
                </c:pt>
                <c:pt idx="13">
                  <c:v>-5516747.1381162573</c:v>
                </c:pt>
                <c:pt idx="14">
                  <c:v>-5698530.3392482484</c:v>
                </c:pt>
                <c:pt idx="15">
                  <c:v>-5806963.9643404987</c:v>
                </c:pt>
                <c:pt idx="16">
                  <c:v>-5868893.0163324066</c:v>
                </c:pt>
                <c:pt idx="17">
                  <c:v>-5909243.1005434329</c:v>
                </c:pt>
                <c:pt idx="18">
                  <c:v>-6139890.508695133</c:v>
                </c:pt>
                <c:pt idx="19">
                  <c:v>-6183970.4452195475</c:v>
                </c:pt>
                <c:pt idx="20">
                  <c:v>-6236623.2540072156</c:v>
                </c:pt>
                <c:pt idx="21">
                  <c:v>-6300734.4320209017</c:v>
                </c:pt>
                <c:pt idx="22">
                  <c:v>-6372916.6516470416</c:v>
                </c:pt>
                <c:pt idx="23">
                  <c:v>-6450115.7038672762</c:v>
                </c:pt>
                <c:pt idx="24">
                  <c:v>-6496487.4403899843</c:v>
                </c:pt>
                <c:pt idx="25">
                  <c:v>-6577828.3396855723</c:v>
                </c:pt>
                <c:pt idx="26">
                  <c:v>-6660141.4732729942</c:v>
                </c:pt>
                <c:pt idx="27">
                  <c:v>-6742454.6068604179</c:v>
                </c:pt>
                <c:pt idx="28">
                  <c:v>-6824767.7404478397</c:v>
                </c:pt>
                <c:pt idx="29">
                  <c:v>-6907080.8740352616</c:v>
                </c:pt>
                <c:pt idx="30">
                  <c:v>-6989394.0076226853</c:v>
                </c:pt>
                <c:pt idx="31">
                  <c:v>-7071707.141210109</c:v>
                </c:pt>
                <c:pt idx="32">
                  <c:v>-7154020.2747975299</c:v>
                </c:pt>
                <c:pt idx="33">
                  <c:v>-7236333.4083849518</c:v>
                </c:pt>
                <c:pt idx="34">
                  <c:v>-7318646.5419723764</c:v>
                </c:pt>
                <c:pt idx="35">
                  <c:v>-7400959.6755597992</c:v>
                </c:pt>
                <c:pt idx="36">
                  <c:v>-214508.74529680889</c:v>
                </c:pt>
                <c:pt idx="37">
                  <c:v>-214508.74529680889</c:v>
                </c:pt>
                <c:pt idx="38">
                  <c:v>-214508.74529680889</c:v>
                </c:pt>
                <c:pt idx="39">
                  <c:v>-214508.74529680889</c:v>
                </c:pt>
                <c:pt idx="40">
                  <c:v>-214508.74529680889</c:v>
                </c:pt>
                <c:pt idx="41">
                  <c:v>-214508.74529680889</c:v>
                </c:pt>
                <c:pt idx="42">
                  <c:v>-214508.74529680889</c:v>
                </c:pt>
                <c:pt idx="43">
                  <c:v>-214508.74529680889</c:v>
                </c:pt>
                <c:pt idx="44">
                  <c:v>-214508.74529680889</c:v>
                </c:pt>
                <c:pt idx="45">
                  <c:v>-214508.74529680889</c:v>
                </c:pt>
                <c:pt idx="46">
                  <c:v>-214508.74529680889</c:v>
                </c:pt>
                <c:pt idx="47">
                  <c:v>-214508.74529680889</c:v>
                </c:pt>
                <c:pt idx="48">
                  <c:v>-214508.74529680889</c:v>
                </c:pt>
                <c:pt idx="49">
                  <c:v>-214508.74529680889</c:v>
                </c:pt>
                <c:pt idx="50">
                  <c:v>-214508.74529680889</c:v>
                </c:pt>
                <c:pt idx="51">
                  <c:v>-214508.74529680889</c:v>
                </c:pt>
                <c:pt idx="52">
                  <c:v>-214508.74529680889</c:v>
                </c:pt>
                <c:pt idx="53">
                  <c:v>-214508.74529680889</c:v>
                </c:pt>
                <c:pt idx="54">
                  <c:v>-214508.74529680889</c:v>
                </c:pt>
                <c:pt idx="55">
                  <c:v>-214508.74529680889</c:v>
                </c:pt>
                <c:pt idx="56">
                  <c:v>-214508.74529680889</c:v>
                </c:pt>
                <c:pt idx="57">
                  <c:v>-214508.74529680889</c:v>
                </c:pt>
                <c:pt idx="58">
                  <c:v>-214508.74529680889</c:v>
                </c:pt>
                <c:pt idx="59">
                  <c:v>-214508.74529680889</c:v>
                </c:pt>
                <c:pt idx="60">
                  <c:v>-214508.74529680889</c:v>
                </c:pt>
                <c:pt idx="61">
                  <c:v>-214508.74529680889</c:v>
                </c:pt>
                <c:pt idx="62">
                  <c:v>-214508.74529680889</c:v>
                </c:pt>
                <c:pt idx="63">
                  <c:v>-214508.74529680889</c:v>
                </c:pt>
                <c:pt idx="64">
                  <c:v>-214508.74529680889</c:v>
                </c:pt>
                <c:pt idx="65">
                  <c:v>-214508.74529680889</c:v>
                </c:pt>
                <c:pt idx="66">
                  <c:v>-214508.74529680889</c:v>
                </c:pt>
                <c:pt idx="67">
                  <c:v>-214508.74529680889</c:v>
                </c:pt>
                <c:pt idx="68">
                  <c:v>-214508.74529680889</c:v>
                </c:pt>
                <c:pt idx="69">
                  <c:v>-214508.74529680889</c:v>
                </c:pt>
                <c:pt idx="70">
                  <c:v>-214508.74529680889</c:v>
                </c:pt>
                <c:pt idx="71">
                  <c:v>-214508.74529680889</c:v>
                </c:pt>
                <c:pt idx="72">
                  <c:v>-214508.74529680889</c:v>
                </c:pt>
                <c:pt idx="73">
                  <c:v>-214508.74529680889</c:v>
                </c:pt>
                <c:pt idx="74">
                  <c:v>-214508.74529680889</c:v>
                </c:pt>
                <c:pt idx="75">
                  <c:v>-214508.74529680889</c:v>
                </c:pt>
                <c:pt idx="76">
                  <c:v>-214508.74529680889</c:v>
                </c:pt>
                <c:pt idx="77">
                  <c:v>-214508.74529680889</c:v>
                </c:pt>
                <c:pt idx="78">
                  <c:v>-214508.74529680889</c:v>
                </c:pt>
                <c:pt idx="79">
                  <c:v>-214508.74529680889</c:v>
                </c:pt>
                <c:pt idx="80">
                  <c:v>-214508.74529680889</c:v>
                </c:pt>
                <c:pt idx="81">
                  <c:v>-214508.74529680889</c:v>
                </c:pt>
                <c:pt idx="82">
                  <c:v>-214508.74529680889</c:v>
                </c:pt>
                <c:pt idx="83">
                  <c:v>-214508.74529680889</c:v>
                </c:pt>
                <c:pt idx="84">
                  <c:v>-214508.74529680889</c:v>
                </c:pt>
                <c:pt idx="85">
                  <c:v>-214508.74529680889</c:v>
                </c:pt>
                <c:pt idx="86">
                  <c:v>-214508.74529680889</c:v>
                </c:pt>
                <c:pt idx="87">
                  <c:v>-214508.74529680889</c:v>
                </c:pt>
                <c:pt idx="88">
                  <c:v>-214508.74529680889</c:v>
                </c:pt>
                <c:pt idx="89">
                  <c:v>-214508.74529680889</c:v>
                </c:pt>
                <c:pt idx="90">
                  <c:v>-214508.74529680889</c:v>
                </c:pt>
                <c:pt idx="91">
                  <c:v>-214508.74529680889</c:v>
                </c:pt>
                <c:pt idx="92">
                  <c:v>-214508.74529680889</c:v>
                </c:pt>
                <c:pt idx="93">
                  <c:v>-214508.74529680889</c:v>
                </c:pt>
                <c:pt idx="94">
                  <c:v>-214508.74529680889</c:v>
                </c:pt>
                <c:pt idx="95">
                  <c:v>-214508.74529680889</c:v>
                </c:pt>
                <c:pt idx="96">
                  <c:v>-214508.74529680889</c:v>
                </c:pt>
                <c:pt idx="97">
                  <c:v>-214508.74529680889</c:v>
                </c:pt>
                <c:pt idx="98">
                  <c:v>-214508.74529680889</c:v>
                </c:pt>
                <c:pt idx="99">
                  <c:v>-214508.74529680889</c:v>
                </c:pt>
                <c:pt idx="100">
                  <c:v>-214508.74529680889</c:v>
                </c:pt>
                <c:pt idx="101">
                  <c:v>-214508.74529680889</c:v>
                </c:pt>
                <c:pt idx="102">
                  <c:v>-214508.74529680889</c:v>
                </c:pt>
                <c:pt idx="103">
                  <c:v>-214508.74529680889</c:v>
                </c:pt>
                <c:pt idx="104">
                  <c:v>-214508.74529680889</c:v>
                </c:pt>
                <c:pt idx="105">
                  <c:v>-214508.74529680889</c:v>
                </c:pt>
                <c:pt idx="106">
                  <c:v>-214508.74529680889</c:v>
                </c:pt>
                <c:pt idx="107">
                  <c:v>-214508.74529680889</c:v>
                </c:pt>
                <c:pt idx="108">
                  <c:v>-214508.74529680889</c:v>
                </c:pt>
                <c:pt idx="109">
                  <c:v>-214508.74529680889</c:v>
                </c:pt>
                <c:pt idx="110">
                  <c:v>-214508.74529680889</c:v>
                </c:pt>
                <c:pt idx="111">
                  <c:v>-214508.74529680889</c:v>
                </c:pt>
                <c:pt idx="112">
                  <c:v>-214508.74529680889</c:v>
                </c:pt>
                <c:pt idx="113">
                  <c:v>-214508.74529680889</c:v>
                </c:pt>
                <c:pt idx="114">
                  <c:v>-214508.74529680889</c:v>
                </c:pt>
                <c:pt idx="115">
                  <c:v>-214508.74529680889</c:v>
                </c:pt>
                <c:pt idx="116">
                  <c:v>-214508.74529680889</c:v>
                </c:pt>
                <c:pt idx="117">
                  <c:v>-214508.74529680889</c:v>
                </c:pt>
                <c:pt idx="118">
                  <c:v>-214508.74529680889</c:v>
                </c:pt>
                <c:pt idx="119">
                  <c:v>-214508.74529680889</c:v>
                </c:pt>
                <c:pt idx="120">
                  <c:v>-214508.74529680889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F7-444C-B0B3-0A6B04717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10001"/>
        <c:axId val="6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7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Monthly Net CF</a:t>
                </a:r>
              </a:p>
            </c:rich>
          </c:tx>
          <c:overlay val="0"/>
        </c:title>
        <c:numFmt formatCode="\$#,##0,&quot;K&quot;" sourceLinked="0"/>
        <c:majorTickMark val="out"/>
        <c:minorTickMark val="none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0"/>
        <c:axPos val="r"/>
        <c:numFmt formatCode="\$#,##0" sourceLinked="1"/>
        <c:majorTickMark val="out"/>
        <c:minorTickMark val="none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one"/>
        <c:crossAx val="60010002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>
            <a:defRPr sz="800" baseline="0">
              <a:latin typeface="等线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5F5F2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11</xdr:col>
      <xdr:colOff>285750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AlexHong">
      <a:dk1>
        <a:srgbClr val="000000"/>
      </a:dk1>
      <a:lt1>
        <a:srgbClr val="FFFFFF"/>
      </a:lt1>
      <a:dk2>
        <a:srgbClr val="081D58"/>
      </a:dk2>
      <a:lt2>
        <a:srgbClr val="F2F2F2"/>
      </a:lt2>
      <a:accent1>
        <a:srgbClr val="081D58"/>
      </a:accent1>
      <a:accent2>
        <a:srgbClr val="2D4BFF"/>
      </a:accent2>
      <a:accent3>
        <a:srgbClr val="00B0F0"/>
      </a:accent3>
      <a:accent4>
        <a:srgbClr val="D9D9D9"/>
      </a:accent4>
      <a:accent5>
        <a:srgbClr val="757575"/>
      </a:accent5>
      <a:accent6>
        <a:srgbClr val="E5F4FA"/>
      </a:accent6>
      <a:hlink>
        <a:srgbClr val="00B0F0"/>
      </a:hlink>
      <a:folHlink>
        <a:srgbClr val="757575"/>
      </a:folHlink>
    </a:clrScheme>
    <a:fontScheme name="AlexHong">
      <a:majorFont>
        <a:latin typeface="Garamond"/>
        <a:ea typeface="宋体"/>
        <a:cs typeface=""/>
      </a:majorFont>
      <a:minorFont>
        <a:latin typeface="等线"/>
        <a:ea typeface="等线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9"/>
  <sheetViews>
    <sheetView showGridLines="0" workbookViewId="0">
      <selection activeCell="B25" sqref="B25:G29"/>
    </sheetView>
  </sheetViews>
  <sheetFormatPr defaultRowHeight="13.9" x14ac:dyDescent="0.4"/>
  <cols>
    <col min="1" max="1" width="2.73046875" customWidth="1"/>
    <col min="2" max="2" width="36.73046875" customWidth="1"/>
    <col min="3" max="3" width="16.73046875" customWidth="1"/>
    <col min="4" max="4" width="46.73046875" customWidth="1"/>
    <col min="5" max="10" width="14.73046875" customWidth="1"/>
  </cols>
  <sheetData>
    <row r="2" spans="2:9" ht="23.25" x14ac:dyDescent="0.7">
      <c r="B2" s="19" t="s">
        <v>0</v>
      </c>
      <c r="C2" s="19"/>
      <c r="D2" s="19"/>
      <c r="E2" s="19"/>
      <c r="F2" s="19"/>
      <c r="G2" s="19"/>
      <c r="H2" s="19"/>
      <c r="I2" s="19"/>
    </row>
    <row r="3" spans="2:9" x14ac:dyDescent="0.4">
      <c r="B3" s="20" t="s">
        <v>1</v>
      </c>
      <c r="C3" s="20"/>
      <c r="D3" s="20"/>
      <c r="E3" s="20"/>
      <c r="F3" s="20"/>
      <c r="G3" s="20"/>
      <c r="H3" s="20"/>
      <c r="I3" s="20"/>
    </row>
    <row r="5" spans="2:9" ht="15.4" x14ac:dyDescent="0.4">
      <c r="B5" s="27" t="s">
        <v>2</v>
      </c>
      <c r="C5" s="27"/>
      <c r="D5" s="27"/>
      <c r="E5" s="27"/>
    </row>
    <row r="6" spans="2:9" x14ac:dyDescent="0.4">
      <c r="B6" s="1" t="s">
        <v>3</v>
      </c>
      <c r="C6" s="2">
        <v>1</v>
      </c>
      <c r="D6" s="3" t="str">
        <f>CHOOSE(C6,"1 Outright (Acq+Resale)","2 Light Refurbishment","3 Full Development","4 Buy-to-Rent","5 Joint Venture")</f>
        <v>1 Outright (Acq+Resale)</v>
      </c>
    </row>
    <row r="8" spans="2:9" ht="15.4" x14ac:dyDescent="0.4">
      <c r="B8" s="27" t="s">
        <v>4</v>
      </c>
      <c r="C8" s="27"/>
      <c r="D8" s="27"/>
      <c r="E8" s="27"/>
    </row>
    <row r="9" spans="2:9" x14ac:dyDescent="0.4">
      <c r="B9" s="1" t="s">
        <v>5</v>
      </c>
      <c r="C9" s="2">
        <v>1</v>
      </c>
      <c r="D9" s="3" t="str">
        <f>CHOOSE(C9,"1 Base Case","2 Upside Case","3 Downside Case")</f>
        <v>1 Base Case</v>
      </c>
    </row>
    <row r="12" spans="2:9" ht="15.4" x14ac:dyDescent="0.4">
      <c r="B12" s="27" t="s">
        <v>6</v>
      </c>
      <c r="C12" s="27"/>
      <c r="D12" s="27"/>
      <c r="E12" s="27"/>
      <c r="F12" s="27"/>
      <c r="G12" s="27"/>
    </row>
    <row r="13" spans="2:9" x14ac:dyDescent="0.4">
      <c r="B13" s="4" t="s">
        <v>7</v>
      </c>
      <c r="C13" s="4" t="s">
        <v>8</v>
      </c>
      <c r="D13" s="4" t="s">
        <v>9</v>
      </c>
      <c r="E13" s="4" t="s">
        <v>10</v>
      </c>
      <c r="F13" s="4" t="s">
        <v>11</v>
      </c>
    </row>
    <row r="14" spans="2:9" x14ac:dyDescent="0.4">
      <c r="B14" s="5" t="s">
        <v>12</v>
      </c>
      <c r="C14" s="3">
        <v>1</v>
      </c>
      <c r="D14" s="6">
        <v>1</v>
      </c>
      <c r="E14" s="6">
        <v>0.92</v>
      </c>
      <c r="F14" s="6">
        <v>1.1499999999999999</v>
      </c>
    </row>
    <row r="15" spans="2:9" x14ac:dyDescent="0.4">
      <c r="B15" s="5" t="s">
        <v>13</v>
      </c>
      <c r="C15" s="3">
        <v>2</v>
      </c>
      <c r="D15" s="6">
        <v>1</v>
      </c>
      <c r="E15" s="6">
        <v>1.08</v>
      </c>
      <c r="F15" s="6">
        <v>0.9</v>
      </c>
    </row>
    <row r="16" spans="2:9" x14ac:dyDescent="0.4">
      <c r="B16" s="5" t="s">
        <v>14</v>
      </c>
      <c r="C16" s="3">
        <v>3</v>
      </c>
      <c r="D16" s="6">
        <v>1</v>
      </c>
      <c r="E16" s="6">
        <v>1.05</v>
      </c>
      <c r="F16" s="6">
        <v>0.88</v>
      </c>
    </row>
    <row r="17" spans="2:7" x14ac:dyDescent="0.4">
      <c r="B17" s="5" t="s">
        <v>15</v>
      </c>
      <c r="C17" s="3">
        <v>4</v>
      </c>
      <c r="D17" s="6">
        <v>0</v>
      </c>
      <c r="E17" s="6">
        <v>-25</v>
      </c>
      <c r="F17" s="6">
        <v>75</v>
      </c>
    </row>
    <row r="19" spans="2:7" x14ac:dyDescent="0.4">
      <c r="B19" s="5" t="s">
        <v>16</v>
      </c>
      <c r="C19" s="7" cm="1">
        <f t="array" ref="C19">_xlfn.XLOOKUP(1,$C$14:$C$17,INDEX($D$14:$F$17,0,ACTIVE_SCENARIO))</f>
        <v>1</v>
      </c>
    </row>
    <row r="20" spans="2:7" x14ac:dyDescent="0.4">
      <c r="B20" s="5" t="s">
        <v>17</v>
      </c>
      <c r="C20" s="7" cm="1">
        <f t="array" ref="C20">_xlfn.XLOOKUP(2,$C$14:$C$17,INDEX($D$14:$F$17,0,ACTIVE_SCENARIO))</f>
        <v>1</v>
      </c>
    </row>
    <row r="21" spans="2:7" x14ac:dyDescent="0.4">
      <c r="B21" s="5" t="s">
        <v>18</v>
      </c>
      <c r="C21" s="7" cm="1">
        <f t="array" ref="C21">_xlfn.XLOOKUP(3,$C$14:$C$17,INDEX($D$14:$F$17,0,ACTIVE_SCENARIO))</f>
        <v>1</v>
      </c>
    </row>
    <row r="22" spans="2:7" x14ac:dyDescent="0.4">
      <c r="B22" s="5" t="s">
        <v>19</v>
      </c>
      <c r="C22" s="7" cm="1">
        <f t="array" ref="C22">_xlfn.XLOOKUP(4,$C$14:$C$17,INDEX($D$14:$F$17,0,ACTIVE_SCENARIO))/10000</f>
        <v>0</v>
      </c>
    </row>
    <row r="25" spans="2:7" x14ac:dyDescent="0.4">
      <c r="B25" s="28" t="s">
        <v>117</v>
      </c>
      <c r="C25" s="28"/>
      <c r="D25" s="28"/>
      <c r="E25" s="28"/>
      <c r="F25" s="28"/>
      <c r="G25" s="28"/>
    </row>
    <row r="26" spans="2:7" x14ac:dyDescent="0.4">
      <c r="B26" s="28"/>
      <c r="C26" s="28"/>
      <c r="D26" s="28"/>
      <c r="E26" s="28"/>
      <c r="F26" s="28"/>
      <c r="G26" s="28"/>
    </row>
    <row r="27" spans="2:7" x14ac:dyDescent="0.4">
      <c r="B27" s="28"/>
      <c r="C27" s="28"/>
      <c r="D27" s="28"/>
      <c r="E27" s="28"/>
      <c r="F27" s="28"/>
      <c r="G27" s="28"/>
    </row>
    <row r="28" spans="2:7" x14ac:dyDescent="0.4">
      <c r="B28" s="28"/>
      <c r="C28" s="28"/>
      <c r="D28" s="28"/>
      <c r="E28" s="28"/>
      <c r="F28" s="28"/>
      <c r="G28" s="28"/>
    </row>
    <row r="29" spans="2:7" x14ac:dyDescent="0.4">
      <c r="B29" s="28"/>
      <c r="C29" s="28"/>
      <c r="D29" s="28"/>
      <c r="E29" s="28"/>
      <c r="F29" s="28"/>
      <c r="G29" s="28"/>
    </row>
  </sheetData>
  <mergeCells count="6">
    <mergeCell ref="B25:G29"/>
    <mergeCell ref="B2:I2"/>
    <mergeCell ref="B3:I3"/>
    <mergeCell ref="B5:E5"/>
    <mergeCell ref="B8:E8"/>
    <mergeCell ref="B12:G12"/>
  </mergeCells>
  <dataValidations count="2">
    <dataValidation type="list" allowBlank="1" showInputMessage="1" showErrorMessage="1" sqref="C6" xr:uid="{00000000-0002-0000-0000-000000000000}">
      <formula1>"1,2,3,4,5"</formula1>
    </dataValidation>
    <dataValidation type="list" allowBlank="1" showInputMessage="1" showErrorMessage="1" sqref="C9" xr:uid="{00000000-0002-0000-0000-000001000000}">
      <formula1>"1,2,3"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51C2C"/>
  </sheetPr>
  <dimension ref="B2:DS51"/>
  <sheetViews>
    <sheetView showGridLines="0" workbookViewId="0">
      <selection activeCell="B44" sqref="B44"/>
    </sheetView>
  </sheetViews>
  <sheetFormatPr defaultRowHeight="13.9" x14ac:dyDescent="0.4"/>
  <cols>
    <col min="1" max="1" width="2.73046875" customWidth="1"/>
    <col min="2" max="2" width="34.73046875" customWidth="1"/>
    <col min="3" max="3" width="18.73046875" customWidth="1"/>
    <col min="4" max="4" width="50.73046875" customWidth="1"/>
  </cols>
  <sheetData>
    <row r="2" spans="2:4" ht="23.25" x14ac:dyDescent="0.7">
      <c r="B2" s="19" t="s">
        <v>0</v>
      </c>
      <c r="C2" s="19"/>
      <c r="D2" s="19"/>
    </row>
    <row r="3" spans="2:4" x14ac:dyDescent="0.4">
      <c r="B3" s="20" t="s">
        <v>20</v>
      </c>
      <c r="C3" s="20"/>
      <c r="D3" s="20"/>
    </row>
    <row r="5" spans="2:4" ht="15.4" x14ac:dyDescent="0.4">
      <c r="B5" s="27" t="s">
        <v>21</v>
      </c>
      <c r="C5" s="27"/>
      <c r="D5" s="27"/>
    </row>
    <row r="7" spans="2:4" x14ac:dyDescent="0.4">
      <c r="B7" s="5" t="s">
        <v>22</v>
      </c>
      <c r="C7" s="8">
        <v>46266</v>
      </c>
      <c r="D7" s="9" t="s">
        <v>23</v>
      </c>
    </row>
    <row r="8" spans="2:4" x14ac:dyDescent="0.4">
      <c r="B8" s="5" t="s">
        <v>24</v>
      </c>
      <c r="C8" s="10">
        <v>6000000</v>
      </c>
      <c r="D8" s="9" t="s">
        <v>25</v>
      </c>
    </row>
    <row r="9" spans="2:4" x14ac:dyDescent="0.4">
      <c r="B9" s="5" t="s">
        <v>26</v>
      </c>
      <c r="C9" s="11">
        <v>7.0000000000000007E-2</v>
      </c>
      <c r="D9" s="9" t="s">
        <v>27</v>
      </c>
    </row>
    <row r="10" spans="2:4" ht="50.65" x14ac:dyDescent="0.4">
      <c r="B10" s="16" t="s">
        <v>28</v>
      </c>
      <c r="C10" s="17">
        <v>11500000</v>
      </c>
      <c r="D10" s="9" t="s">
        <v>29</v>
      </c>
    </row>
    <row r="12" spans="2:4" ht="15.4" x14ac:dyDescent="0.4">
      <c r="B12" s="27" t="s">
        <v>30</v>
      </c>
      <c r="C12" s="27"/>
      <c r="D12" s="27"/>
    </row>
    <row r="14" spans="2:4" x14ac:dyDescent="0.4">
      <c r="B14" s="5" t="s">
        <v>31</v>
      </c>
      <c r="C14" s="10">
        <v>3200000</v>
      </c>
      <c r="D14" s="9" t="s">
        <v>32</v>
      </c>
    </row>
    <row r="15" spans="2:4" x14ac:dyDescent="0.4">
      <c r="B15" s="5" t="s">
        <v>33</v>
      </c>
      <c r="C15" s="11">
        <v>0.05</v>
      </c>
      <c r="D15" s="9" t="s">
        <v>34</v>
      </c>
    </row>
    <row r="16" spans="2:4" x14ac:dyDescent="0.4">
      <c r="B16" s="5" t="s">
        <v>35</v>
      </c>
      <c r="C16" s="6">
        <v>18</v>
      </c>
      <c r="D16" s="9" t="s">
        <v>36</v>
      </c>
    </row>
    <row r="18" spans="2:123" ht="15.4" x14ac:dyDescent="0.4">
      <c r="B18" s="27" t="s">
        <v>37</v>
      </c>
      <c r="C18" s="27"/>
      <c r="D18" s="27"/>
    </row>
    <row r="20" spans="2:123" x14ac:dyDescent="0.4">
      <c r="B20" s="5" t="s">
        <v>38</v>
      </c>
      <c r="C20" s="12">
        <v>1.522923389468708E-3</v>
      </c>
      <c r="D20" s="12">
        <v>3.667601918411693E-3</v>
      </c>
      <c r="E20" s="12">
        <v>8.010779083943733E-3</v>
      </c>
      <c r="F20" s="12">
        <v>1.5869226129827649E-2</v>
      </c>
      <c r="G20" s="12">
        <v>2.8511835171894949E-2</v>
      </c>
      <c r="H20" s="12">
        <v>4.6460408520917443E-2</v>
      </c>
      <c r="I20" s="12">
        <v>6.8664032673607142E-2</v>
      </c>
      <c r="J20" s="12">
        <v>9.203733134775692E-2</v>
      </c>
      <c r="K20" s="12">
        <v>0.11188893978504939</v>
      </c>
      <c r="L20" s="12">
        <v>0.1233669219791223</v>
      </c>
      <c r="M20" s="12">
        <v>0.1233669219791223</v>
      </c>
      <c r="N20" s="12">
        <v>0.11188893978504939</v>
      </c>
      <c r="O20" s="12">
        <v>9.203733134775692E-2</v>
      </c>
      <c r="P20" s="12">
        <v>6.8664032673607114E-2</v>
      </c>
      <c r="Q20" s="12">
        <v>4.6460408520917443E-2</v>
      </c>
      <c r="R20" s="12">
        <v>2.8511835171894949E-2</v>
      </c>
      <c r="S20" s="12">
        <v>1.586922612982767E-2</v>
      </c>
      <c r="T20" s="12">
        <v>8.010779083943733E-3</v>
      </c>
      <c r="U20" s="12">
        <v>3.6676019184116899E-3</v>
      </c>
      <c r="V20" s="12">
        <v>1.522923389468708E-3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</row>
    <row r="21" spans="2:123" x14ac:dyDescent="0.4">
      <c r="B21" s="5" t="s">
        <v>39</v>
      </c>
      <c r="C21" s="7">
        <f>SUM('02_Assumptions'!$C$20:$DS$20)</f>
        <v>0.99999999999999989</v>
      </c>
    </row>
    <row r="23" spans="2:123" ht="15.4" x14ac:dyDescent="0.4">
      <c r="B23" s="27" t="s">
        <v>40</v>
      </c>
      <c r="C23" s="27"/>
      <c r="D23" s="27"/>
    </row>
    <row r="25" spans="2:123" x14ac:dyDescent="0.4">
      <c r="B25" s="5" t="s">
        <v>41</v>
      </c>
      <c r="C25" s="11">
        <v>0.21</v>
      </c>
      <c r="D25" s="9" t="s">
        <v>42</v>
      </c>
    </row>
    <row r="26" spans="2:123" x14ac:dyDescent="0.4">
      <c r="B26" s="5" t="s">
        <v>43</v>
      </c>
      <c r="C26" s="11">
        <v>0.1</v>
      </c>
      <c r="D26" s="9" t="s">
        <v>44</v>
      </c>
    </row>
    <row r="27" spans="2:123" x14ac:dyDescent="0.4">
      <c r="B27" s="5" t="s">
        <v>45</v>
      </c>
      <c r="C27" s="6">
        <v>6</v>
      </c>
      <c r="D27" s="9" t="s">
        <v>46</v>
      </c>
    </row>
    <row r="29" spans="2:123" ht="15.4" x14ac:dyDescent="0.4">
      <c r="B29" s="27" t="s">
        <v>47</v>
      </c>
      <c r="C29" s="27"/>
      <c r="D29" s="27"/>
    </row>
    <row r="31" spans="2:123" x14ac:dyDescent="0.4">
      <c r="B31" s="5" t="s">
        <v>48</v>
      </c>
      <c r="C31" s="11">
        <v>0.6</v>
      </c>
      <c r="D31" s="9" t="s">
        <v>49</v>
      </c>
    </row>
    <row r="32" spans="2:123" x14ac:dyDescent="0.4">
      <c r="B32" s="5" t="s">
        <v>50</v>
      </c>
      <c r="C32" s="18">
        <v>1</v>
      </c>
      <c r="D32" s="9" t="s">
        <v>51</v>
      </c>
    </row>
    <row r="33" spans="2:4" x14ac:dyDescent="0.4">
      <c r="B33" s="5" t="s">
        <v>52</v>
      </c>
      <c r="C33" s="11">
        <v>6.5000000000000002E-2</v>
      </c>
      <c r="D33" s="9" t="s">
        <v>53</v>
      </c>
    </row>
    <row r="34" spans="2:4" x14ac:dyDescent="0.4">
      <c r="B34" s="5" t="s">
        <v>54</v>
      </c>
      <c r="C34" s="6">
        <v>60</v>
      </c>
      <c r="D34" s="9" t="s">
        <v>55</v>
      </c>
    </row>
    <row r="36" spans="2:4" ht="15.4" x14ac:dyDescent="0.4">
      <c r="B36" s="27" t="s">
        <v>56</v>
      </c>
      <c r="C36" s="27"/>
      <c r="D36" s="27"/>
    </row>
    <row r="38" spans="2:4" x14ac:dyDescent="0.4">
      <c r="B38" s="5" t="s">
        <v>57</v>
      </c>
      <c r="C38" s="10">
        <v>1500000</v>
      </c>
      <c r="D38" s="9" t="s">
        <v>58</v>
      </c>
    </row>
    <row r="39" spans="2:4" x14ac:dyDescent="0.4">
      <c r="B39" s="5" t="s">
        <v>59</v>
      </c>
      <c r="C39" s="11">
        <v>9.5000000000000001E-2</v>
      </c>
      <c r="D39" s="9" t="s">
        <v>60</v>
      </c>
    </row>
    <row r="41" spans="2:4" ht="15.4" x14ac:dyDescent="0.4">
      <c r="B41" s="27" t="s">
        <v>61</v>
      </c>
      <c r="C41" s="27"/>
      <c r="D41" s="27"/>
    </row>
    <row r="43" spans="2:4" x14ac:dyDescent="0.4">
      <c r="B43" s="5" t="s">
        <v>62</v>
      </c>
      <c r="C43" s="11">
        <v>0.3</v>
      </c>
      <c r="D43" s="9" t="s">
        <v>63</v>
      </c>
    </row>
    <row r="44" spans="2:4" ht="30.4" x14ac:dyDescent="0.4">
      <c r="B44" s="16" t="s">
        <v>64</v>
      </c>
      <c r="C44" s="17">
        <v>42000</v>
      </c>
      <c r="D44" s="9" t="s">
        <v>65</v>
      </c>
    </row>
    <row r="45" spans="2:4" x14ac:dyDescent="0.4">
      <c r="B45" s="5" t="s">
        <v>66</v>
      </c>
      <c r="C45" s="11">
        <v>0.93</v>
      </c>
      <c r="D45" s="9" t="s">
        <v>67</v>
      </c>
    </row>
    <row r="46" spans="2:4" x14ac:dyDescent="0.4">
      <c r="B46" s="5" t="s">
        <v>68</v>
      </c>
      <c r="C46" s="11">
        <v>0.03</v>
      </c>
      <c r="D46" s="9" t="s">
        <v>67</v>
      </c>
    </row>
    <row r="48" spans="2:4" ht="15.4" x14ac:dyDescent="0.4">
      <c r="B48" s="27" t="s">
        <v>69</v>
      </c>
      <c r="C48" s="27"/>
      <c r="D48" s="27"/>
    </row>
    <row r="50" spans="2:4" x14ac:dyDescent="0.4">
      <c r="B50" s="5" t="s">
        <v>70</v>
      </c>
      <c r="C50" s="6">
        <v>36</v>
      </c>
      <c r="D50" s="9" t="s">
        <v>71</v>
      </c>
    </row>
    <row r="51" spans="2:4" x14ac:dyDescent="0.4">
      <c r="B51" s="5" t="s">
        <v>72</v>
      </c>
      <c r="C51" s="11">
        <v>5.8000000000000003E-2</v>
      </c>
      <c r="D51" s="9" t="s">
        <v>73</v>
      </c>
    </row>
  </sheetData>
  <mergeCells count="10">
    <mergeCell ref="B23:D23"/>
    <mergeCell ref="B29:D29"/>
    <mergeCell ref="B36:D36"/>
    <mergeCell ref="B41:D41"/>
    <mergeCell ref="B48:D48"/>
    <mergeCell ref="B2:D2"/>
    <mergeCell ref="B3:D3"/>
    <mergeCell ref="B5:D5"/>
    <mergeCell ref="B12:D12"/>
    <mergeCell ref="B18:D18"/>
  </mergeCells>
  <conditionalFormatting sqref="C21">
    <cfRule type="cellIs" dxfId="1" priority="1" operator="notBetween">
      <formula>0.999</formula>
      <formula>1.001</formula>
    </cfRule>
  </conditionalFormatting>
  <dataValidations disablePrompts="1" count="1">
    <dataValidation type="list" allowBlank="1" showInputMessage="1" showErrorMessage="1" sqref="C32" xr:uid="{00000000-0002-0000-0100-000000000000}">
      <formula1>"1,2,3"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100-000002000000}">
            <xm:f>'01_Setup_Scenarios'!$C$6&lt;&gt;4</xm:f>
            <x14:dxf>
              <font>
                <color rgb="FF888888"/>
              </font>
              <fill>
                <patternFill>
                  <bgColor rgb="FFE8E8E6"/>
                </patternFill>
              </fill>
            </x14:dxf>
          </x14:cfRule>
          <xm:sqref>C43:C46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34E64"/>
  </sheetPr>
  <dimension ref="B2:DS46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7" sqref="B17"/>
    </sheetView>
  </sheetViews>
  <sheetFormatPr defaultRowHeight="13.9" x14ac:dyDescent="0.4"/>
  <cols>
    <col min="1" max="1" width="2.73046875" customWidth="1"/>
    <col min="2" max="2" width="30.73046875" customWidth="1"/>
    <col min="3" max="123" width="11.73046875" customWidth="1"/>
  </cols>
  <sheetData>
    <row r="2" spans="2:123" ht="23.25" x14ac:dyDescent="0.7">
      <c r="B2" s="19" t="s">
        <v>0</v>
      </c>
      <c r="C2" s="19"/>
      <c r="D2" s="19"/>
      <c r="E2" s="19"/>
      <c r="F2" s="19"/>
      <c r="G2" s="19"/>
    </row>
    <row r="3" spans="2:123" x14ac:dyDescent="0.4">
      <c r="B3" s="20" t="s">
        <v>74</v>
      </c>
      <c r="C3" s="20"/>
      <c r="D3" s="20"/>
      <c r="E3" s="20"/>
      <c r="F3" s="20"/>
      <c r="G3" s="20"/>
    </row>
    <row r="5" spans="2:123" ht="15.4" x14ac:dyDescent="0.4">
      <c r="B5" s="27" t="s">
        <v>75</v>
      </c>
      <c r="C5" s="27"/>
      <c r="D5" s="27"/>
      <c r="E5" s="27"/>
      <c r="F5" s="27"/>
      <c r="G5" s="27"/>
    </row>
    <row r="6" spans="2:123" x14ac:dyDescent="0.4">
      <c r="B6" s="1" t="s">
        <v>76</v>
      </c>
      <c r="C6" s="3" cm="1">
        <f t="array" ref="C6:DS6">_xlfn.SEQUENCE(1,121,0,1)</f>
        <v>0</v>
      </c>
      <c r="D6" s="3">
        <v>1</v>
      </c>
      <c r="E6" s="3">
        <v>2</v>
      </c>
      <c r="F6" s="3">
        <v>3</v>
      </c>
      <c r="G6" s="3">
        <v>4</v>
      </c>
      <c r="H6" s="3">
        <v>5</v>
      </c>
      <c r="I6" s="3">
        <v>6</v>
      </c>
      <c r="J6" s="3">
        <v>7</v>
      </c>
      <c r="K6" s="3">
        <v>8</v>
      </c>
      <c r="L6" s="3">
        <v>9</v>
      </c>
      <c r="M6" s="3">
        <v>10</v>
      </c>
      <c r="N6" s="3">
        <v>11</v>
      </c>
      <c r="O6" s="3">
        <v>12</v>
      </c>
      <c r="P6" s="3">
        <v>13</v>
      </c>
      <c r="Q6" s="3">
        <v>14</v>
      </c>
      <c r="R6" s="3">
        <v>15</v>
      </c>
      <c r="S6" s="3">
        <v>16</v>
      </c>
      <c r="T6" s="3">
        <v>17</v>
      </c>
      <c r="U6" s="3">
        <v>18</v>
      </c>
      <c r="V6" s="3">
        <v>19</v>
      </c>
      <c r="W6" s="3">
        <v>20</v>
      </c>
      <c r="X6" s="3">
        <v>21</v>
      </c>
      <c r="Y6" s="3">
        <v>22</v>
      </c>
      <c r="Z6" s="3">
        <v>23</v>
      </c>
      <c r="AA6" s="3">
        <v>24</v>
      </c>
      <c r="AB6" s="3">
        <v>25</v>
      </c>
      <c r="AC6" s="3">
        <v>26</v>
      </c>
      <c r="AD6" s="3">
        <v>27</v>
      </c>
      <c r="AE6" s="3">
        <v>28</v>
      </c>
      <c r="AF6" s="3">
        <v>29</v>
      </c>
      <c r="AG6" s="3">
        <v>30</v>
      </c>
      <c r="AH6" s="3">
        <v>31</v>
      </c>
      <c r="AI6" s="3">
        <v>32</v>
      </c>
      <c r="AJ6" s="3">
        <v>33</v>
      </c>
      <c r="AK6" s="3">
        <v>34</v>
      </c>
      <c r="AL6" s="3">
        <v>35</v>
      </c>
      <c r="AM6" s="3">
        <v>36</v>
      </c>
      <c r="AN6" s="3">
        <v>37</v>
      </c>
      <c r="AO6" s="3">
        <v>38</v>
      </c>
      <c r="AP6" s="3">
        <v>39</v>
      </c>
      <c r="AQ6" s="3">
        <v>40</v>
      </c>
      <c r="AR6" s="3">
        <v>41</v>
      </c>
      <c r="AS6" s="3">
        <v>42</v>
      </c>
      <c r="AT6" s="3">
        <v>43</v>
      </c>
      <c r="AU6" s="3">
        <v>44</v>
      </c>
      <c r="AV6" s="3">
        <v>45</v>
      </c>
      <c r="AW6" s="3">
        <v>46</v>
      </c>
      <c r="AX6" s="3">
        <v>47</v>
      </c>
      <c r="AY6" s="3">
        <v>48</v>
      </c>
      <c r="AZ6" s="3">
        <v>49</v>
      </c>
      <c r="BA6" s="3">
        <v>50</v>
      </c>
      <c r="BB6" s="3">
        <v>51</v>
      </c>
      <c r="BC6" s="3">
        <v>52</v>
      </c>
      <c r="BD6" s="3">
        <v>53</v>
      </c>
      <c r="BE6" s="3">
        <v>54</v>
      </c>
      <c r="BF6" s="3">
        <v>55</v>
      </c>
      <c r="BG6" s="3">
        <v>56</v>
      </c>
      <c r="BH6" s="3">
        <v>57</v>
      </c>
      <c r="BI6" s="3">
        <v>58</v>
      </c>
      <c r="BJ6" s="3">
        <v>59</v>
      </c>
      <c r="BK6" s="3">
        <v>60</v>
      </c>
      <c r="BL6" s="3">
        <v>61</v>
      </c>
      <c r="BM6" s="3">
        <v>62</v>
      </c>
      <c r="BN6" s="3">
        <v>63</v>
      </c>
      <c r="BO6" s="3">
        <v>64</v>
      </c>
      <c r="BP6" s="3">
        <v>65</v>
      </c>
      <c r="BQ6" s="3">
        <v>66</v>
      </c>
      <c r="BR6" s="3">
        <v>67</v>
      </c>
      <c r="BS6" s="3">
        <v>68</v>
      </c>
      <c r="BT6" s="3">
        <v>69</v>
      </c>
      <c r="BU6" s="3">
        <v>70</v>
      </c>
      <c r="BV6" s="3">
        <v>71</v>
      </c>
      <c r="BW6" s="3">
        <v>72</v>
      </c>
      <c r="BX6" s="3">
        <v>73</v>
      </c>
      <c r="BY6" s="3">
        <v>74</v>
      </c>
      <c r="BZ6" s="3">
        <v>75</v>
      </c>
      <c r="CA6" s="3">
        <v>76</v>
      </c>
      <c r="CB6" s="3">
        <v>77</v>
      </c>
      <c r="CC6" s="3">
        <v>78</v>
      </c>
      <c r="CD6" s="3">
        <v>79</v>
      </c>
      <c r="CE6" s="3">
        <v>80</v>
      </c>
      <c r="CF6" s="3">
        <v>81</v>
      </c>
      <c r="CG6" s="3">
        <v>82</v>
      </c>
      <c r="CH6" s="3">
        <v>83</v>
      </c>
      <c r="CI6" s="3">
        <v>84</v>
      </c>
      <c r="CJ6" s="3">
        <v>85</v>
      </c>
      <c r="CK6" s="3">
        <v>86</v>
      </c>
      <c r="CL6" s="3">
        <v>87</v>
      </c>
      <c r="CM6" s="3">
        <v>88</v>
      </c>
      <c r="CN6" s="3">
        <v>89</v>
      </c>
      <c r="CO6" s="3">
        <v>90</v>
      </c>
      <c r="CP6" s="3">
        <v>91</v>
      </c>
      <c r="CQ6" s="3">
        <v>92</v>
      </c>
      <c r="CR6" s="3">
        <v>93</v>
      </c>
      <c r="CS6" s="3">
        <v>94</v>
      </c>
      <c r="CT6" s="3">
        <v>95</v>
      </c>
      <c r="CU6" s="3">
        <v>96</v>
      </c>
      <c r="CV6" s="3">
        <v>97</v>
      </c>
      <c r="CW6" s="3">
        <v>98</v>
      </c>
      <c r="CX6" s="3">
        <v>99</v>
      </c>
      <c r="CY6" s="3">
        <v>100</v>
      </c>
      <c r="CZ6" s="3">
        <v>101</v>
      </c>
      <c r="DA6" s="3">
        <v>102</v>
      </c>
      <c r="DB6" s="3">
        <v>103</v>
      </c>
      <c r="DC6" s="3">
        <v>104</v>
      </c>
      <c r="DD6" s="3">
        <v>105</v>
      </c>
      <c r="DE6" s="3">
        <v>106</v>
      </c>
      <c r="DF6" s="3">
        <v>107</v>
      </c>
      <c r="DG6" s="3">
        <v>108</v>
      </c>
      <c r="DH6" s="3">
        <v>109</v>
      </c>
      <c r="DI6" s="3">
        <v>110</v>
      </c>
      <c r="DJ6" s="3">
        <v>111</v>
      </c>
      <c r="DK6" s="3">
        <v>112</v>
      </c>
      <c r="DL6" s="3">
        <v>113</v>
      </c>
      <c r="DM6" s="3">
        <v>114</v>
      </c>
      <c r="DN6" s="3">
        <v>115</v>
      </c>
      <c r="DO6" s="3">
        <v>116</v>
      </c>
      <c r="DP6" s="3">
        <v>117</v>
      </c>
      <c r="DQ6" s="3">
        <v>118</v>
      </c>
      <c r="DR6" s="3">
        <v>119</v>
      </c>
      <c r="DS6" s="3">
        <v>120</v>
      </c>
    </row>
    <row r="7" spans="2:123" x14ac:dyDescent="0.4">
      <c r="B7" s="5" t="s">
        <v>77</v>
      </c>
      <c r="C7" s="13" cm="1">
        <f t="array" ref="C7:DS7">_xlfn.MAP(MONTH_INDEX,_xlfn.LAMBDA(_xlpm.m,EDATE(PROJECT_START_DATE,_xlpm.m)))</f>
        <v>46266</v>
      </c>
      <c r="D7" s="13">
        <v>46296</v>
      </c>
      <c r="E7" s="13">
        <v>46327</v>
      </c>
      <c r="F7" s="13">
        <v>46357</v>
      </c>
      <c r="G7" s="13">
        <v>46388</v>
      </c>
      <c r="H7" s="13">
        <v>46419</v>
      </c>
      <c r="I7" s="13">
        <v>46447</v>
      </c>
      <c r="J7" s="13">
        <v>46478</v>
      </c>
      <c r="K7" s="13">
        <v>46508</v>
      </c>
      <c r="L7" s="13">
        <v>46539</v>
      </c>
      <c r="M7" s="13">
        <v>46569</v>
      </c>
      <c r="N7" s="13">
        <v>46600</v>
      </c>
      <c r="O7" s="13">
        <v>46631</v>
      </c>
      <c r="P7" s="13">
        <v>46661</v>
      </c>
      <c r="Q7" s="13">
        <v>46692</v>
      </c>
      <c r="R7" s="13">
        <v>46722</v>
      </c>
      <c r="S7" s="13">
        <v>46753</v>
      </c>
      <c r="T7" s="13">
        <v>46784</v>
      </c>
      <c r="U7" s="13">
        <v>46813</v>
      </c>
      <c r="V7" s="13">
        <v>46844</v>
      </c>
      <c r="W7" s="13">
        <v>46874</v>
      </c>
      <c r="X7" s="13">
        <v>46905</v>
      </c>
      <c r="Y7" s="13">
        <v>46935</v>
      </c>
      <c r="Z7" s="13">
        <v>46966</v>
      </c>
      <c r="AA7" s="13">
        <v>46997</v>
      </c>
      <c r="AB7" s="13">
        <v>47027</v>
      </c>
      <c r="AC7" s="13">
        <v>47058</v>
      </c>
      <c r="AD7" s="13">
        <v>47088</v>
      </c>
      <c r="AE7" s="13">
        <v>47119</v>
      </c>
      <c r="AF7" s="13">
        <v>47150</v>
      </c>
      <c r="AG7" s="13">
        <v>47178</v>
      </c>
      <c r="AH7" s="13">
        <v>47209</v>
      </c>
      <c r="AI7" s="13">
        <v>47239</v>
      </c>
      <c r="AJ7" s="13">
        <v>47270</v>
      </c>
      <c r="AK7" s="13">
        <v>47300</v>
      </c>
      <c r="AL7" s="13">
        <v>47331</v>
      </c>
      <c r="AM7" s="13">
        <v>47362</v>
      </c>
      <c r="AN7" s="13">
        <v>47392</v>
      </c>
      <c r="AO7" s="13">
        <v>47423</v>
      </c>
      <c r="AP7" s="13">
        <v>47453</v>
      </c>
      <c r="AQ7" s="13">
        <v>47484</v>
      </c>
      <c r="AR7" s="13">
        <v>47515</v>
      </c>
      <c r="AS7" s="13">
        <v>47543</v>
      </c>
      <c r="AT7" s="13">
        <v>47574</v>
      </c>
      <c r="AU7" s="13">
        <v>47604</v>
      </c>
      <c r="AV7" s="13">
        <v>47635</v>
      </c>
      <c r="AW7" s="13">
        <v>47665</v>
      </c>
      <c r="AX7" s="13">
        <v>47696</v>
      </c>
      <c r="AY7" s="13">
        <v>47727</v>
      </c>
      <c r="AZ7" s="13">
        <v>47757</v>
      </c>
      <c r="BA7" s="13">
        <v>47788</v>
      </c>
      <c r="BB7" s="13">
        <v>47818</v>
      </c>
      <c r="BC7" s="13">
        <v>47849</v>
      </c>
      <c r="BD7" s="13">
        <v>47880</v>
      </c>
      <c r="BE7" s="13">
        <v>47908</v>
      </c>
      <c r="BF7" s="13">
        <v>47939</v>
      </c>
      <c r="BG7" s="13">
        <v>47969</v>
      </c>
      <c r="BH7" s="13">
        <v>48000</v>
      </c>
      <c r="BI7" s="13">
        <v>48030</v>
      </c>
      <c r="BJ7" s="13">
        <v>48061</v>
      </c>
      <c r="BK7" s="13">
        <v>48092</v>
      </c>
      <c r="BL7" s="13">
        <v>48122</v>
      </c>
      <c r="BM7" s="13">
        <v>48153</v>
      </c>
      <c r="BN7" s="13">
        <v>48183</v>
      </c>
      <c r="BO7" s="13">
        <v>48214</v>
      </c>
      <c r="BP7" s="13">
        <v>48245</v>
      </c>
      <c r="BQ7" s="13">
        <v>48274</v>
      </c>
      <c r="BR7" s="13">
        <v>48305</v>
      </c>
      <c r="BS7" s="13">
        <v>48335</v>
      </c>
      <c r="BT7" s="13">
        <v>48366</v>
      </c>
      <c r="BU7" s="13">
        <v>48396</v>
      </c>
      <c r="BV7" s="13">
        <v>48427</v>
      </c>
      <c r="BW7" s="13">
        <v>48458</v>
      </c>
      <c r="BX7" s="13">
        <v>48488</v>
      </c>
      <c r="BY7" s="13">
        <v>48519</v>
      </c>
      <c r="BZ7" s="13">
        <v>48549</v>
      </c>
      <c r="CA7" s="13">
        <v>48580</v>
      </c>
      <c r="CB7" s="13">
        <v>48611</v>
      </c>
      <c r="CC7" s="13">
        <v>48639</v>
      </c>
      <c r="CD7" s="13">
        <v>48670</v>
      </c>
      <c r="CE7" s="13">
        <v>48700</v>
      </c>
      <c r="CF7" s="13">
        <v>48731</v>
      </c>
      <c r="CG7" s="13">
        <v>48761</v>
      </c>
      <c r="CH7" s="13">
        <v>48792</v>
      </c>
      <c r="CI7" s="13">
        <v>48823</v>
      </c>
      <c r="CJ7" s="13">
        <v>48853</v>
      </c>
      <c r="CK7" s="13">
        <v>48884</v>
      </c>
      <c r="CL7" s="13">
        <v>48914</v>
      </c>
      <c r="CM7" s="13">
        <v>48945</v>
      </c>
      <c r="CN7" s="13">
        <v>48976</v>
      </c>
      <c r="CO7" s="13">
        <v>49004</v>
      </c>
      <c r="CP7" s="13">
        <v>49035</v>
      </c>
      <c r="CQ7" s="13">
        <v>49065</v>
      </c>
      <c r="CR7" s="13">
        <v>49096</v>
      </c>
      <c r="CS7" s="13">
        <v>49126</v>
      </c>
      <c r="CT7" s="13">
        <v>49157</v>
      </c>
      <c r="CU7" s="13">
        <v>49188</v>
      </c>
      <c r="CV7" s="13">
        <v>49218</v>
      </c>
      <c r="CW7" s="13">
        <v>49249</v>
      </c>
      <c r="CX7" s="13">
        <v>49279</v>
      </c>
      <c r="CY7" s="13">
        <v>49310</v>
      </c>
      <c r="CZ7" s="13">
        <v>49341</v>
      </c>
      <c r="DA7" s="13">
        <v>49369</v>
      </c>
      <c r="DB7" s="13">
        <v>49400</v>
      </c>
      <c r="DC7" s="13">
        <v>49430</v>
      </c>
      <c r="DD7" s="13">
        <v>49461</v>
      </c>
      <c r="DE7" s="13">
        <v>49491</v>
      </c>
      <c r="DF7" s="13">
        <v>49522</v>
      </c>
      <c r="DG7" s="13">
        <v>49553</v>
      </c>
      <c r="DH7" s="13">
        <v>49583</v>
      </c>
      <c r="DI7" s="13">
        <v>49614</v>
      </c>
      <c r="DJ7" s="13">
        <v>49644</v>
      </c>
      <c r="DK7" s="13">
        <v>49675</v>
      </c>
      <c r="DL7" s="13">
        <v>49706</v>
      </c>
      <c r="DM7" s="13">
        <v>49735</v>
      </c>
      <c r="DN7" s="13">
        <v>49766</v>
      </c>
      <c r="DO7" s="13">
        <v>49796</v>
      </c>
      <c r="DP7" s="13">
        <v>49827</v>
      </c>
      <c r="DQ7" s="13">
        <v>49857</v>
      </c>
      <c r="DR7" s="13">
        <v>49888</v>
      </c>
      <c r="DS7" s="13">
        <v>49919</v>
      </c>
    </row>
    <row r="9" spans="2:123" ht="15.4" x14ac:dyDescent="0.4">
      <c r="B9" s="27" t="s">
        <v>78</v>
      </c>
      <c r="C9" s="27"/>
      <c r="D9" s="27"/>
      <c r="E9" s="27"/>
      <c r="F9" s="27"/>
      <c r="G9" s="27"/>
    </row>
    <row r="10" spans="2:123" x14ac:dyDescent="0.4">
      <c r="B10" s="5" t="s">
        <v>79</v>
      </c>
      <c r="C10" s="14" cm="1">
        <f t="array" ref="C10:DS10">CAPEX_TOTAL_BUDGET*SCEN_CAPEX_MULT*CAPEX_DISTRIBUTION_CURVE</f>
        <v>4873.3548462998651</v>
      </c>
      <c r="D10" s="14">
        <v>11736.326138917417</v>
      </c>
      <c r="E10" s="14">
        <v>25634.493068619944</v>
      </c>
      <c r="F10" s="14">
        <v>50781.523615448474</v>
      </c>
      <c r="G10" s="14">
        <v>91237.872550063839</v>
      </c>
      <c r="H10" s="14">
        <v>148673.30726693582</v>
      </c>
      <c r="I10" s="14">
        <v>219724.90455554286</v>
      </c>
      <c r="J10" s="14">
        <v>294519.46031282214</v>
      </c>
      <c r="K10" s="14">
        <v>358044.60731215804</v>
      </c>
      <c r="L10" s="14">
        <v>394774.15033319138</v>
      </c>
      <c r="M10" s="14">
        <v>394774.15033319138</v>
      </c>
      <c r="N10" s="14">
        <v>358044.60731215804</v>
      </c>
      <c r="O10" s="14">
        <v>294519.46031282214</v>
      </c>
      <c r="P10" s="14">
        <v>219724.90455554277</v>
      </c>
      <c r="Q10" s="14">
        <v>148673.30726693582</v>
      </c>
      <c r="R10" s="14">
        <v>91237.872550063839</v>
      </c>
      <c r="S10" s="14">
        <v>50781.523615448539</v>
      </c>
      <c r="T10" s="14">
        <v>25634.493068619944</v>
      </c>
      <c r="U10" s="14">
        <v>11736.326138917408</v>
      </c>
      <c r="V10" s="14">
        <v>4873.3548462998651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</row>
    <row r="11" spans="2:123" x14ac:dyDescent="0.4">
      <c r="B11" s="5" t="s">
        <v>80</v>
      </c>
      <c r="C11" s="14" cm="1">
        <f t="array" ref="C11:DS11">GROSS_CAPEX*RETENTION_RATE</f>
        <v>243.66774231499326</v>
      </c>
      <c r="D11" s="14">
        <v>586.81630694587091</v>
      </c>
      <c r="E11" s="14">
        <v>1281.7246534309973</v>
      </c>
      <c r="F11" s="14">
        <v>2539.0761807724239</v>
      </c>
      <c r="G11" s="14">
        <v>4561.893627503192</v>
      </c>
      <c r="H11" s="14">
        <v>7433.6653633467913</v>
      </c>
      <c r="I11" s="14">
        <v>10986.245227777144</v>
      </c>
      <c r="J11" s="14">
        <v>14725.973015641108</v>
      </c>
      <c r="K11" s="14">
        <v>17902.230365607902</v>
      </c>
      <c r="L11" s="14">
        <v>19738.707516659571</v>
      </c>
      <c r="M11" s="14">
        <v>19738.707516659571</v>
      </c>
      <c r="N11" s="14">
        <v>17902.230365607902</v>
      </c>
      <c r="O11" s="14">
        <v>14725.973015641108</v>
      </c>
      <c r="P11" s="14">
        <v>10986.245227777139</v>
      </c>
      <c r="Q11" s="14">
        <v>7433.6653633467913</v>
      </c>
      <c r="R11" s="14">
        <v>4561.893627503192</v>
      </c>
      <c r="S11" s="14">
        <v>2539.0761807724271</v>
      </c>
      <c r="T11" s="14">
        <v>1281.7246534309973</v>
      </c>
      <c r="U11" s="14">
        <v>586.81630694587045</v>
      </c>
      <c r="V11" s="14">
        <v>243.66774231499326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</row>
    <row r="12" spans="2:123" x14ac:dyDescent="0.4">
      <c r="B12" s="5" t="s">
        <v>81</v>
      </c>
      <c r="C12" s="14" cm="1">
        <f t="array" ref="C12:DS12">IF(MONTH_INDEX=RETENTION_RELEASE_MONTH,SUM(RETENTION_WITHHELD_M),0)</f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159999.99999999997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</row>
    <row r="13" spans="2:123" x14ac:dyDescent="0.4">
      <c r="B13" s="1" t="s">
        <v>82</v>
      </c>
      <c r="C13" s="14" cm="1">
        <f t="array" ref="C13:DS13">GROSS_CAPEX-RETENTION_WITHHELD_M+RETENTION_RELEASED_M</f>
        <v>4629.687103984872</v>
      </c>
      <c r="D13" s="14">
        <v>11149.509831971545</v>
      </c>
      <c r="E13" s="14">
        <v>24352.768415188948</v>
      </c>
      <c r="F13" s="14">
        <v>48242.447434676047</v>
      </c>
      <c r="G13" s="14">
        <v>86675.978922560651</v>
      </c>
      <c r="H13" s="14">
        <v>141239.64190358904</v>
      </c>
      <c r="I13" s="14">
        <v>208738.65932776572</v>
      </c>
      <c r="J13" s="14">
        <v>279793.48729718104</v>
      </c>
      <c r="K13" s="14">
        <v>340142.37694655015</v>
      </c>
      <c r="L13" s="14">
        <v>375035.44281653181</v>
      </c>
      <c r="M13" s="14">
        <v>375035.44281653181</v>
      </c>
      <c r="N13" s="14">
        <v>340142.37694655015</v>
      </c>
      <c r="O13" s="14">
        <v>279793.48729718104</v>
      </c>
      <c r="P13" s="14">
        <v>208738.65932776564</v>
      </c>
      <c r="Q13" s="14">
        <v>141239.64190358904</v>
      </c>
      <c r="R13" s="14">
        <v>86675.978922560651</v>
      </c>
      <c r="S13" s="14">
        <v>48242.447434676113</v>
      </c>
      <c r="T13" s="14">
        <v>24352.768415188948</v>
      </c>
      <c r="U13" s="14">
        <v>171149.50983197152</v>
      </c>
      <c r="V13" s="14">
        <v>4629.687103984872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</row>
    <row r="15" spans="2:123" ht="15.4" x14ac:dyDescent="0.4">
      <c r="B15" s="27" t="s">
        <v>83</v>
      </c>
      <c r="C15" s="27"/>
      <c r="D15" s="27"/>
      <c r="E15" s="27"/>
      <c r="F15" s="27"/>
      <c r="G15" s="27"/>
    </row>
    <row r="16" spans="2:123" x14ac:dyDescent="0.4">
      <c r="B16" s="5" t="s">
        <v>84</v>
      </c>
      <c r="C16" s="14" cm="1">
        <f t="array" ref="C16:DS16">NET_CAPEX_PAID*VAT_RATE_CAPEX</f>
        <v>972.2342918368231</v>
      </c>
      <c r="D16" s="14">
        <v>2341.3970647140245</v>
      </c>
      <c r="E16" s="14">
        <v>5114.0813671896785</v>
      </c>
      <c r="F16" s="14">
        <v>10130.913961281969</v>
      </c>
      <c r="G16" s="14">
        <v>18201.955573737738</v>
      </c>
      <c r="H16" s="14">
        <v>29660.324799753696</v>
      </c>
      <c r="I16" s="14">
        <v>43835.118458830802</v>
      </c>
      <c r="J16" s="14">
        <v>58756.632332408015</v>
      </c>
      <c r="K16" s="14">
        <v>71429.89915877553</v>
      </c>
      <c r="L16" s="14">
        <v>78757.442991471675</v>
      </c>
      <c r="M16" s="14">
        <v>78757.442991471675</v>
      </c>
      <c r="N16" s="14">
        <v>71429.89915877553</v>
      </c>
      <c r="O16" s="14">
        <v>58756.632332408015</v>
      </c>
      <c r="P16" s="14">
        <v>43835.118458830781</v>
      </c>
      <c r="Q16" s="14">
        <v>29660.324799753696</v>
      </c>
      <c r="R16" s="14">
        <v>18201.955573737738</v>
      </c>
      <c r="S16" s="14">
        <v>10130.913961281984</v>
      </c>
      <c r="T16" s="14">
        <v>5114.0813671896785</v>
      </c>
      <c r="U16" s="14">
        <v>35941.397064714016</v>
      </c>
      <c r="V16" s="14">
        <v>972.2342918368231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</row>
    <row r="17" spans="2:123" x14ac:dyDescent="0.4">
      <c r="B17" s="5" t="s">
        <v>85</v>
      </c>
      <c r="C17" s="14" cm="1">
        <f t="array" aca="1" ref="C17:DS17" ca="1">_xlfn.MAP(MONTH_INDEX,_xlfn.LAMBDA(_xlpm.m,IF(_xlpm.m&gt;=VAT_REFUND_LAG,OFFSET(INDEX(VAT_PAID_CAPEX_M,1,1),0,_xlpm.m-VAT_REFUND_LAG),0)))</f>
        <v>0</v>
      </c>
      <c r="D17" s="14">
        <f ca="1"/>
        <v>0</v>
      </c>
      <c r="E17" s="14">
        <f ca="1"/>
        <v>0</v>
      </c>
      <c r="F17" s="14">
        <f ca="1"/>
        <v>0</v>
      </c>
      <c r="G17" s="14">
        <f ca="1"/>
        <v>0</v>
      </c>
      <c r="H17" s="14">
        <f ca="1"/>
        <v>0</v>
      </c>
      <c r="I17" s="14">
        <f ca="1"/>
        <v>972.2342918368231</v>
      </c>
      <c r="J17" s="14">
        <f ca="1"/>
        <v>2341.3970647140245</v>
      </c>
      <c r="K17" s="14">
        <f ca="1"/>
        <v>5114.0813671896785</v>
      </c>
      <c r="L17" s="14">
        <f ca="1"/>
        <v>10130.913961281969</v>
      </c>
      <c r="M17" s="14">
        <f ca="1"/>
        <v>18201.955573737738</v>
      </c>
      <c r="N17" s="14">
        <f ca="1"/>
        <v>29660.324799753696</v>
      </c>
      <c r="O17" s="14">
        <f ca="1"/>
        <v>43835.118458830802</v>
      </c>
      <c r="P17" s="14">
        <f ca="1"/>
        <v>58756.632332408015</v>
      </c>
      <c r="Q17" s="14">
        <f ca="1"/>
        <v>71429.89915877553</v>
      </c>
      <c r="R17" s="14">
        <f ca="1"/>
        <v>78757.442991471675</v>
      </c>
      <c r="S17" s="14">
        <f ca="1"/>
        <v>78757.442991471675</v>
      </c>
      <c r="T17" s="14">
        <f ca="1"/>
        <v>71429.89915877553</v>
      </c>
      <c r="U17" s="14">
        <f ca="1"/>
        <v>58756.632332408015</v>
      </c>
      <c r="V17" s="14">
        <f ca="1"/>
        <v>43835.118458830781</v>
      </c>
      <c r="W17" s="14">
        <f ca="1"/>
        <v>29660.324799753696</v>
      </c>
      <c r="X17" s="14">
        <f ca="1"/>
        <v>18201.955573737738</v>
      </c>
      <c r="Y17" s="14">
        <f ca="1"/>
        <v>10130.913961281984</v>
      </c>
      <c r="Z17" s="14">
        <f ca="1"/>
        <v>5114.0813671896785</v>
      </c>
      <c r="AA17" s="14">
        <f ca="1"/>
        <v>35941.397064714016</v>
      </c>
      <c r="AB17" s="14">
        <f ca="1"/>
        <v>972.2342918368231</v>
      </c>
      <c r="AC17" s="14">
        <f ca="1"/>
        <v>0</v>
      </c>
      <c r="AD17" s="14">
        <f ca="1"/>
        <v>0</v>
      </c>
      <c r="AE17" s="14">
        <f ca="1"/>
        <v>0</v>
      </c>
      <c r="AF17" s="14">
        <f ca="1"/>
        <v>0</v>
      </c>
      <c r="AG17" s="14">
        <f ca="1"/>
        <v>0</v>
      </c>
      <c r="AH17" s="14">
        <f ca="1"/>
        <v>0</v>
      </c>
      <c r="AI17" s="14">
        <f ca="1"/>
        <v>0</v>
      </c>
      <c r="AJ17" s="14">
        <f ca="1"/>
        <v>0</v>
      </c>
      <c r="AK17" s="14">
        <f ca="1"/>
        <v>0</v>
      </c>
      <c r="AL17" s="14">
        <f ca="1"/>
        <v>0</v>
      </c>
      <c r="AM17" s="14">
        <f ca="1"/>
        <v>0</v>
      </c>
      <c r="AN17" s="14">
        <f ca="1"/>
        <v>0</v>
      </c>
      <c r="AO17" s="14">
        <f ca="1"/>
        <v>0</v>
      </c>
      <c r="AP17" s="14">
        <f ca="1"/>
        <v>0</v>
      </c>
      <c r="AQ17" s="14">
        <f ca="1"/>
        <v>0</v>
      </c>
      <c r="AR17" s="14">
        <f ca="1"/>
        <v>0</v>
      </c>
      <c r="AS17" s="14">
        <f ca="1"/>
        <v>0</v>
      </c>
      <c r="AT17" s="14">
        <f ca="1"/>
        <v>0</v>
      </c>
      <c r="AU17" s="14">
        <f ca="1"/>
        <v>0</v>
      </c>
      <c r="AV17" s="14">
        <f ca="1"/>
        <v>0</v>
      </c>
      <c r="AW17" s="14">
        <f ca="1"/>
        <v>0</v>
      </c>
      <c r="AX17" s="14">
        <f ca="1"/>
        <v>0</v>
      </c>
      <c r="AY17" s="14">
        <f ca="1"/>
        <v>0</v>
      </c>
      <c r="AZ17" s="14">
        <f ca="1"/>
        <v>0</v>
      </c>
      <c r="BA17" s="14">
        <f ca="1"/>
        <v>0</v>
      </c>
      <c r="BB17" s="14">
        <f ca="1"/>
        <v>0</v>
      </c>
      <c r="BC17" s="14">
        <f ca="1"/>
        <v>0</v>
      </c>
      <c r="BD17" s="14">
        <f ca="1"/>
        <v>0</v>
      </c>
      <c r="BE17" s="14">
        <f ca="1"/>
        <v>0</v>
      </c>
      <c r="BF17" s="14">
        <f ca="1"/>
        <v>0</v>
      </c>
      <c r="BG17" s="14">
        <f ca="1"/>
        <v>0</v>
      </c>
      <c r="BH17" s="14">
        <f ca="1"/>
        <v>0</v>
      </c>
      <c r="BI17" s="14">
        <f ca="1"/>
        <v>0</v>
      </c>
      <c r="BJ17" s="14">
        <f ca="1"/>
        <v>0</v>
      </c>
      <c r="BK17" s="14">
        <f ca="1"/>
        <v>0</v>
      </c>
      <c r="BL17" s="14">
        <f ca="1"/>
        <v>0</v>
      </c>
      <c r="BM17" s="14">
        <f ca="1"/>
        <v>0</v>
      </c>
      <c r="BN17" s="14">
        <f ca="1"/>
        <v>0</v>
      </c>
      <c r="BO17" s="14">
        <f ca="1"/>
        <v>0</v>
      </c>
      <c r="BP17" s="14">
        <f ca="1"/>
        <v>0</v>
      </c>
      <c r="BQ17" s="14">
        <f ca="1"/>
        <v>0</v>
      </c>
      <c r="BR17" s="14">
        <f ca="1"/>
        <v>0</v>
      </c>
      <c r="BS17" s="14">
        <f ca="1"/>
        <v>0</v>
      </c>
      <c r="BT17" s="14">
        <f ca="1"/>
        <v>0</v>
      </c>
      <c r="BU17" s="14">
        <f ca="1"/>
        <v>0</v>
      </c>
      <c r="BV17" s="14">
        <f ca="1"/>
        <v>0</v>
      </c>
      <c r="BW17" s="14">
        <f ca="1"/>
        <v>0</v>
      </c>
      <c r="BX17" s="14">
        <f ca="1"/>
        <v>0</v>
      </c>
      <c r="BY17" s="14">
        <f ca="1"/>
        <v>0</v>
      </c>
      <c r="BZ17" s="14">
        <f ca="1"/>
        <v>0</v>
      </c>
      <c r="CA17" s="14">
        <f ca="1"/>
        <v>0</v>
      </c>
      <c r="CB17" s="14">
        <f ca="1"/>
        <v>0</v>
      </c>
      <c r="CC17" s="14">
        <f ca="1"/>
        <v>0</v>
      </c>
      <c r="CD17" s="14">
        <f ca="1"/>
        <v>0</v>
      </c>
      <c r="CE17" s="14">
        <f ca="1"/>
        <v>0</v>
      </c>
      <c r="CF17" s="14">
        <f ca="1"/>
        <v>0</v>
      </c>
      <c r="CG17" s="14">
        <f ca="1"/>
        <v>0</v>
      </c>
      <c r="CH17" s="14">
        <f ca="1"/>
        <v>0</v>
      </c>
      <c r="CI17" s="14">
        <f ca="1"/>
        <v>0</v>
      </c>
      <c r="CJ17" s="14">
        <f ca="1"/>
        <v>0</v>
      </c>
      <c r="CK17" s="14">
        <f ca="1"/>
        <v>0</v>
      </c>
      <c r="CL17" s="14">
        <f ca="1"/>
        <v>0</v>
      </c>
      <c r="CM17" s="14">
        <f ca="1"/>
        <v>0</v>
      </c>
      <c r="CN17" s="14">
        <f ca="1"/>
        <v>0</v>
      </c>
      <c r="CO17" s="14">
        <f ca="1"/>
        <v>0</v>
      </c>
      <c r="CP17" s="14">
        <f ca="1"/>
        <v>0</v>
      </c>
      <c r="CQ17" s="14">
        <f ca="1"/>
        <v>0</v>
      </c>
      <c r="CR17" s="14">
        <f ca="1"/>
        <v>0</v>
      </c>
      <c r="CS17" s="14">
        <f ca="1"/>
        <v>0</v>
      </c>
      <c r="CT17" s="14">
        <f ca="1"/>
        <v>0</v>
      </c>
      <c r="CU17" s="14">
        <f ca="1"/>
        <v>0</v>
      </c>
      <c r="CV17" s="14">
        <f ca="1"/>
        <v>0</v>
      </c>
      <c r="CW17" s="14">
        <f ca="1"/>
        <v>0</v>
      </c>
      <c r="CX17" s="14">
        <f ca="1"/>
        <v>0</v>
      </c>
      <c r="CY17" s="14">
        <f ca="1"/>
        <v>0</v>
      </c>
      <c r="CZ17" s="14">
        <f ca="1"/>
        <v>0</v>
      </c>
      <c r="DA17" s="14">
        <f ca="1"/>
        <v>0</v>
      </c>
      <c r="DB17" s="14">
        <f ca="1"/>
        <v>0</v>
      </c>
      <c r="DC17" s="14">
        <f ca="1"/>
        <v>0</v>
      </c>
      <c r="DD17" s="14">
        <f ca="1"/>
        <v>0</v>
      </c>
      <c r="DE17" s="14">
        <f ca="1"/>
        <v>0</v>
      </c>
      <c r="DF17" s="14">
        <f ca="1"/>
        <v>0</v>
      </c>
      <c r="DG17" s="14">
        <f ca="1"/>
        <v>0</v>
      </c>
      <c r="DH17" s="14">
        <f ca="1"/>
        <v>0</v>
      </c>
      <c r="DI17" s="14">
        <f ca="1"/>
        <v>0</v>
      </c>
      <c r="DJ17" s="14">
        <f ca="1"/>
        <v>0</v>
      </c>
      <c r="DK17" s="14">
        <f ca="1"/>
        <v>0</v>
      </c>
      <c r="DL17" s="14">
        <f ca="1"/>
        <v>0</v>
      </c>
      <c r="DM17" s="14">
        <f ca="1"/>
        <v>0</v>
      </c>
      <c r="DN17" s="14">
        <f ca="1"/>
        <v>0</v>
      </c>
      <c r="DO17" s="14">
        <f ca="1"/>
        <v>0</v>
      </c>
      <c r="DP17" s="14">
        <f ca="1"/>
        <v>0</v>
      </c>
      <c r="DQ17" s="14">
        <f ca="1"/>
        <v>0</v>
      </c>
      <c r="DR17" s="14">
        <f ca="1"/>
        <v>0</v>
      </c>
      <c r="DS17" s="14">
        <f ca="1"/>
        <v>0</v>
      </c>
    </row>
    <row r="18" spans="2:123" x14ac:dyDescent="0.4">
      <c r="B18" s="5" t="s">
        <v>86</v>
      </c>
      <c r="C18" s="14" cm="1">
        <f t="array" ref="C18:DS18">_xlfn.MAP(MONTH_INDEX,_xlfn.LAMBDA(_xlpm.m,IF(_xlpm.m&lt;&gt;TARGET_EXIT_MONTH,0,IF(PROJECT_TYPE=4,(SUM(INDEX(GROSS_RENT_REVENUE,1,MAX(1,_xlpm.m-11)+1):INDEX(GROSS_RENT_REVENUE,1,_xlpm.m+1))-SUM(INDEX(OPERATING_EXPENSES,1,MAX(1,_xlpm.m-11)+1):INDEX(OPERATING_EXPENSES,1,_xlpm.m+1)))/EXIT_CAP_RATE,GROSS_SALE_PRICE*SCEN_SALE_MULT))))</f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11500000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</row>
    <row r="19" spans="2:123" x14ac:dyDescent="0.4">
      <c r="B19" s="5" t="s">
        <v>87</v>
      </c>
      <c r="C19" s="14" cm="1">
        <f t="array" ref="C19:DS19">_xlfn.MAP(MONTH_INDEX,_xlfn.LAMBDA(_xlpm.m,IF(_xlpm.m=TARGET_EXIT_MONTH,INDEX(EXIT_VALUE_GROSS_M,1,_xlpm.m+1)*VAT_RATE_SALES,0)))</f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1150000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</row>
    <row r="21" spans="2:123" ht="15.4" x14ac:dyDescent="0.4">
      <c r="B21" s="27" t="s">
        <v>88</v>
      </c>
      <c r="C21" s="27"/>
      <c r="D21" s="27"/>
      <c r="E21" s="27"/>
      <c r="F21" s="27"/>
      <c r="G21" s="27"/>
    </row>
    <row r="22" spans="2:123" x14ac:dyDescent="0.4">
      <c r="B22" s="5" t="s">
        <v>89</v>
      </c>
      <c r="C22" s="14" cm="1">
        <f t="array" ref="C22:DS22">_xlfn.MAP(MONTH_INDEX,_xlfn.LAMBDA(_xlpm.m,IF(AND(PROJECT_TYPE=4,_xlpm.m&gt;=RETENTION_RELEASE_MONTH,_xlpm.m&lt;TARGET_EXIT_MONTH),GROSS_MONTHLY_RENT_BASE*OCCUPANCY_RATE*SCEN_RENT_MULT*(1+RENT_ANNUAL_INFLATION)^((_xlpm.m-RETENTION_RELEASE_MONTH)/12),0)))</f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0</v>
      </c>
      <c r="DS22" s="14">
        <v>0</v>
      </c>
    </row>
    <row r="23" spans="2:123" x14ac:dyDescent="0.4">
      <c r="B23" s="5" t="s">
        <v>90</v>
      </c>
      <c r="C23" s="14" cm="1">
        <f t="array" ref="C23:DS23">GROSS_RENT_REVENUE*RENTAL_OPEX_PERCENT</f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</row>
    <row r="25" spans="2:123" ht="15.4" x14ac:dyDescent="0.4">
      <c r="B25" s="27" t="s">
        <v>91</v>
      </c>
      <c r="C25" s="27"/>
      <c r="D25" s="27"/>
      <c r="E25" s="27"/>
      <c r="F25" s="27"/>
      <c r="G25" s="27"/>
    </row>
    <row r="26" spans="2:123" x14ac:dyDescent="0.4">
      <c r="B26" s="5" t="s">
        <v>92</v>
      </c>
      <c r="C26" s="14" cm="1">
        <f t="array" ref="C26:DS26">IF(MONTH_INDEX=0,-ACQUISITION_COST*(1+ACQUISITION_TAX_RATE),0)</f>
        <v>-6420000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</row>
    <row r="27" spans="2:123" x14ac:dyDescent="0.4">
      <c r="B27" s="5" t="s">
        <v>93</v>
      </c>
      <c r="C27" s="14" cm="1">
        <f t="array" ref="C27:DS27">IF(MONTH_INDEX=0,ACQUISITION_COST*LTV_RATIO,0)</f>
        <v>3600000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</row>
    <row r="28" spans="2:123" x14ac:dyDescent="0.4">
      <c r="B28" s="5" t="s">
        <v>94</v>
      </c>
      <c r="C28" s="14" cm="1">
        <f t="array" ref="C28:DS28">_xlfn.MAP(MONTH_INDEX,_xlfn.LAMBDA(_xlpm.m,IF(_xlpm.m&gt;=TARGET_EXIT_MONTH,0,CHOOSE(DEBT_AMORTIZATION_TYPE,Amort_Bal_French(_xlpm.m,DEBT_INTEREST_RATE+SCEN_RATE_ADDER,DEBT_TENOR_MONTHS,ACQUISITION_COST*LTV_RATIO),Amort_Bal_Italian(_xlpm.m,DEBT_INTEREST_RATE+SCEN_RATE_ADDER,DEBT_TENOR_MONTHS,ACQUISITION_COST*LTV_RATIO),Amort_Bal_Bullet(_xlpm.m,DEBT_INTEREST_RATE+SCEN_RATE_ADDER,DEBT_TENOR_MONTHS,ACQUISITION_COST*LTV_RATIO)))))</f>
        <v>3600000</v>
      </c>
      <c r="D28" s="14">
        <v>3549061.8664125768</v>
      </c>
      <c r="E28" s="14">
        <v>3497847.8179348889</v>
      </c>
      <c r="F28" s="14">
        <v>3446356.3600279461</v>
      </c>
      <c r="G28" s="14">
        <v>3394585.9900573418</v>
      </c>
      <c r="H28" s="14">
        <v>3342535.1972493962</v>
      </c>
      <c r="I28" s="14">
        <v>3290202.4626470739</v>
      </c>
      <c r="J28" s="14">
        <v>3237586.2590656555</v>
      </c>
      <c r="K28" s="14">
        <v>3184685.0510481726</v>
      </c>
      <c r="L28" s="14">
        <v>3131497.2948205937</v>
      </c>
      <c r="M28" s="14">
        <v>3078021.4382467819</v>
      </c>
      <c r="N28" s="14">
        <v>3024255.9207831952</v>
      </c>
      <c r="O28" s="14">
        <v>2970199.1734333495</v>
      </c>
      <c r="P28" s="14">
        <v>2915849.6187020247</v>
      </c>
      <c r="Q28" s="14">
        <v>2861205.6705492372</v>
      </c>
      <c r="R28" s="14">
        <v>2806265.7343439553</v>
      </c>
      <c r="S28" s="14">
        <v>2751028.2068175636</v>
      </c>
      <c r="T28" s="14">
        <v>2695491.4760170691</v>
      </c>
      <c r="U28" s="14">
        <v>2639653.9212580719</v>
      </c>
      <c r="V28" s="14">
        <v>2583513.9130774629</v>
      </c>
      <c r="W28" s="14">
        <v>2527069.8131858776</v>
      </c>
      <c r="X28" s="14">
        <v>2470319.9744198769</v>
      </c>
      <c r="Y28" s="14">
        <v>2413262.7406938965</v>
      </c>
      <c r="Z28" s="14">
        <v>2355896.4469518978</v>
      </c>
      <c r="AA28" s="14">
        <v>2298219.4191187988</v>
      </c>
      <c r="AB28" s="14">
        <v>2240229.9740516013</v>
      </c>
      <c r="AC28" s="14">
        <v>2181926.4194902922</v>
      </c>
      <c r="AD28" s="14">
        <v>2123307.0540084406</v>
      </c>
      <c r="AE28" s="14">
        <v>2064370.1669635647</v>
      </c>
      <c r="AF28" s="14">
        <v>2005114.0384471957</v>
      </c>
      <c r="AG28" s="14">
        <v>1945536.9392346942</v>
      </c>
      <c r="AH28" s="14">
        <v>1885637.1307347917</v>
      </c>
      <c r="AI28" s="14">
        <v>1825412.8649388512</v>
      </c>
      <c r="AJ28" s="14">
        <v>1764862.3843698478</v>
      </c>
      <c r="AK28" s="14">
        <v>1703983.9220310932</v>
      </c>
      <c r="AL28" s="14">
        <v>1642775.7013546722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</row>
    <row r="29" spans="2:123" x14ac:dyDescent="0.4">
      <c r="B29" s="5" t="s">
        <v>95</v>
      </c>
      <c r="C29" s="14" cm="1">
        <f t="array" ref="C29:DS29">_xlfn.MAP(MONTH_INDEX,_xlfn.LAMBDA(_xlpm.m,IF(_xlpm.m=0,0,INDEX(MORTGAGE_BALANCE,1,_xlpm.m)*(DEBT_INTEREST_RATE+SCEN_RATE_ADDER)/12)))</f>
        <v>0</v>
      </c>
      <c r="D29" s="14">
        <v>19500</v>
      </c>
      <c r="E29" s="14">
        <v>19224.085109734791</v>
      </c>
      <c r="F29" s="14">
        <v>18946.675680480646</v>
      </c>
      <c r="G29" s="14">
        <v>18667.763616818043</v>
      </c>
      <c r="H29" s="14">
        <v>18387.340779477268</v>
      </c>
      <c r="I29" s="14">
        <v>18105.398985100899</v>
      </c>
      <c r="J29" s="14">
        <v>17821.930006004983</v>
      </c>
      <c r="K29" s="14">
        <v>17536.925569938969</v>
      </c>
      <c r="L29" s="14">
        <v>17250.377359844268</v>
      </c>
      <c r="M29" s="14">
        <v>16962.277013611551</v>
      </c>
      <c r="N29" s="14">
        <v>16672.616123836735</v>
      </c>
      <c r="O29" s="14">
        <v>16381.386237575642</v>
      </c>
      <c r="P29" s="14">
        <v>16088.578856097311</v>
      </c>
      <c r="Q29" s="14">
        <v>15794.185434635969</v>
      </c>
      <c r="R29" s="14">
        <v>15498.197382141703</v>
      </c>
      <c r="S29" s="14">
        <v>15200.606061029757</v>
      </c>
      <c r="T29" s="14">
        <v>14901.402786928469</v>
      </c>
      <c r="U29" s="14">
        <v>14600.578828425792</v>
      </c>
      <c r="V29" s="14">
        <v>14298.125406814557</v>
      </c>
      <c r="W29" s="14">
        <v>13994.033695836259</v>
      </c>
      <c r="X29" s="14">
        <v>13688.294821423506</v>
      </c>
      <c r="Y29" s="14">
        <v>13380.899861441001</v>
      </c>
      <c r="Z29" s="14">
        <v>13071.839845425273</v>
      </c>
      <c r="AA29" s="14">
        <v>12761.10575432278</v>
      </c>
      <c r="AB29" s="14">
        <v>12448.688520226826</v>
      </c>
      <c r="AC29" s="14">
        <v>12134.57902611284</v>
      </c>
      <c r="AD29" s="14">
        <v>11818.768105572417</v>
      </c>
      <c r="AE29" s="14">
        <v>11501.246542545719</v>
      </c>
      <c r="AF29" s="14">
        <v>11182.005071052643</v>
      </c>
      <c r="AG29" s="14">
        <v>10861.03437492231</v>
      </c>
      <c r="AH29" s="14">
        <v>10538.32508752126</v>
      </c>
      <c r="AI29" s="14">
        <v>10213.867791480123</v>
      </c>
      <c r="AJ29" s="14">
        <v>9887.6530184187777</v>
      </c>
      <c r="AK29" s="14">
        <v>9559.6712486700089</v>
      </c>
      <c r="AL29" s="14">
        <v>9229.9129110017548</v>
      </c>
      <c r="AM29" s="14">
        <v>8898.3683823378069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</row>
    <row r="30" spans="2:123" x14ac:dyDescent="0.4">
      <c r="B30" s="5" t="s">
        <v>96</v>
      </c>
      <c r="C30" s="14" cm="1">
        <f t="array" ref="C30:DS30">_xlfn.MAP(MONTH_INDEX,_xlfn.LAMBDA(_xlpm.m,IF(_xlpm.m=0,0,INDEX(MORTGAGE_BALANCE,1,_xlpm.m)-INDEX(MORTGAGE_BALANCE,1,_xlpm.m+1))))</f>
        <v>0</v>
      </c>
      <c r="D30" s="14">
        <v>50938.133587423246</v>
      </c>
      <c r="E30" s="14">
        <v>51214.048477687873</v>
      </c>
      <c r="F30" s="14">
        <v>51491.457906942815</v>
      </c>
      <c r="G30" s="14">
        <v>51770.369970604312</v>
      </c>
      <c r="H30" s="14">
        <v>52050.792807945516</v>
      </c>
      <c r="I30" s="14">
        <v>52332.734602322336</v>
      </c>
      <c r="J30" s="14">
        <v>52616.203581418376</v>
      </c>
      <c r="K30" s="14">
        <v>52901.208017482888</v>
      </c>
      <c r="L30" s="14">
        <v>53187.756227578968</v>
      </c>
      <c r="M30" s="14">
        <v>53475.856573811732</v>
      </c>
      <c r="N30" s="14">
        <v>53765.517463586759</v>
      </c>
      <c r="O30" s="14">
        <v>54056.747349845711</v>
      </c>
      <c r="P30" s="14">
        <v>54349.554731324781</v>
      </c>
      <c r="Q30" s="14">
        <v>54643.948152787518</v>
      </c>
      <c r="R30" s="14">
        <v>54939.936205281876</v>
      </c>
      <c r="S30" s="14">
        <v>55237.52752639167</v>
      </c>
      <c r="T30" s="14">
        <v>55536.730800494552</v>
      </c>
      <c r="U30" s="14">
        <v>55837.554758997168</v>
      </c>
      <c r="V30" s="14">
        <v>56140.008180608973</v>
      </c>
      <c r="W30" s="14">
        <v>56444.099891585298</v>
      </c>
      <c r="X30" s="14">
        <v>56749.838766000699</v>
      </c>
      <c r="Y30" s="14">
        <v>57057.23372598039</v>
      </c>
      <c r="Z30" s="14">
        <v>57366.293741998728</v>
      </c>
      <c r="AA30" s="14">
        <v>57677.027833099011</v>
      </c>
      <c r="AB30" s="14">
        <v>57989.44506719755</v>
      </c>
      <c r="AC30" s="14">
        <v>58303.554561309051</v>
      </c>
      <c r="AD30" s="14">
        <v>58619.365481851622</v>
      </c>
      <c r="AE30" s="14">
        <v>58936.887044875883</v>
      </c>
      <c r="AF30" s="14">
        <v>59256.128516369034</v>
      </c>
      <c r="AG30" s="14">
        <v>59577.099212501431</v>
      </c>
      <c r="AH30" s="14">
        <v>59899.808499902487</v>
      </c>
      <c r="AI30" s="14">
        <v>60224.265795940533</v>
      </c>
      <c r="AJ30" s="14">
        <v>60550.480569003383</v>
      </c>
      <c r="AK30" s="14">
        <v>60878.462338754674</v>
      </c>
      <c r="AL30" s="14">
        <v>61208.220676420955</v>
      </c>
      <c r="AM30" s="14">
        <v>1642775.7013546722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</row>
    <row r="32" spans="2:123" ht="15.4" x14ac:dyDescent="0.4">
      <c r="B32" s="27" t="s">
        <v>97</v>
      </c>
      <c r="C32" s="27"/>
      <c r="D32" s="27"/>
      <c r="E32" s="27"/>
      <c r="F32" s="27"/>
      <c r="G32" s="27"/>
    </row>
    <row r="33" spans="2:123" x14ac:dyDescent="0.4">
      <c r="B33" s="5" t="s">
        <v>98</v>
      </c>
      <c r="C33" s="14" cm="1">
        <f t="array" ref="C33:DS33">_xlfn.MAP(MONTH_INDEX,_xlfn.LAMBDA(_xlpm.m,IF(_xlpm.m=TARGET_EXIT_MONTH,INDEX(EXIT_VALUE_GROSS_M,1,_xlpm.m+1)-INDEX(VAT_PAYABLE_ON_SALE,1,_xlpm.m+1),0)))</f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10350000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</row>
    <row r="35" spans="2:123" ht="15.4" x14ac:dyDescent="0.4">
      <c r="B35" s="27" t="s">
        <v>99</v>
      </c>
      <c r="C35" s="27"/>
      <c r="D35" s="27"/>
      <c r="E35" s="27"/>
      <c r="F35" s="27"/>
      <c r="G35" s="27"/>
    </row>
    <row r="36" spans="2:123" x14ac:dyDescent="0.4">
      <c r="B36" s="5" t="s">
        <v>100</v>
      </c>
      <c r="C36" s="14" cm="1">
        <f t="array" aca="1" ref="C36:DS36" ca="1">ACQUISITION_OUTFLOW+GROSS_RENT_REVENUE-OPERATING_EXPENSES-NET_CAPEX_PAID-VAT_PAID_CAPEX_M+VAT_REFUNDS_RECEIVED+SALE_PROCEEDS_NET+MORTGAGE_DRAWDOWN-MORTGAGE_INTEREST_PMT-MORTGAGE_PRINCIPAL_PMT</f>
        <v>-2825601.9213958215</v>
      </c>
      <c r="D36" s="14">
        <f ca="1"/>
        <v>-83929.040484108817</v>
      </c>
      <c r="E36" s="14">
        <f ca="1"/>
        <v>-99904.983369801295</v>
      </c>
      <c r="F36" s="14">
        <f ca="1"/>
        <v>-128811.49498338148</v>
      </c>
      <c r="G36" s="14">
        <f ca="1"/>
        <v>-175316.06808372075</v>
      </c>
      <c r="H36" s="14">
        <f ca="1"/>
        <v>-241338.10029076552</v>
      </c>
      <c r="I36" s="14">
        <f ca="1"/>
        <v>-322039.67708218296</v>
      </c>
      <c r="J36" s="14">
        <f ca="1"/>
        <v>-406646.85615229834</v>
      </c>
      <c r="K36" s="14">
        <f ca="1"/>
        <v>-476896.32832555781</v>
      </c>
      <c r="L36" s="14">
        <f ca="1"/>
        <v>-514100.10543414479</v>
      </c>
      <c r="M36" s="14">
        <f ca="1"/>
        <v>-506029.06382168905</v>
      </c>
      <c r="N36" s="14">
        <f ca="1"/>
        <v>-452350.08489299542</v>
      </c>
      <c r="O36" s="14">
        <f ca="1"/>
        <v>-365153.13475817954</v>
      </c>
      <c r="P36" s="14">
        <f ca="1"/>
        <v>-264255.27904161048</v>
      </c>
      <c r="Q36" s="14">
        <f ca="1"/>
        <v>-169908.2011319907</v>
      </c>
      <c r="R36" s="14">
        <f ca="1"/>
        <v>-96558.625092250295</v>
      </c>
      <c r="S36" s="14">
        <f ca="1"/>
        <v>-50054.051991907851</v>
      </c>
      <c r="T36" s="14">
        <f ca="1"/>
        <v>-28475.084211026122</v>
      </c>
      <c r="U36" s="14">
        <f ca="1"/>
        <v>-218772.40815170048</v>
      </c>
      <c r="V36" s="14">
        <f ca="1"/>
        <v>-32204.936524414443</v>
      </c>
      <c r="W36" s="14">
        <f ca="1"/>
        <v>-40777.808787667862</v>
      </c>
      <c r="X36" s="14">
        <f ca="1"/>
        <v>-52236.178013686469</v>
      </c>
      <c r="Y36" s="14">
        <f ca="1"/>
        <v>-60307.219626139406</v>
      </c>
      <c r="Z36" s="14">
        <f ca="1"/>
        <v>-65324.05222023432</v>
      </c>
      <c r="AA36" s="14">
        <f ca="1"/>
        <v>-34496.736522707775</v>
      </c>
      <c r="AB36" s="14">
        <f ca="1"/>
        <v>-69465.899295587558</v>
      </c>
      <c r="AC36" s="14">
        <f ca="1"/>
        <v>-70438.133587421893</v>
      </c>
      <c r="AD36" s="14">
        <f ca="1"/>
        <v>-70438.133587424032</v>
      </c>
      <c r="AE36" s="14">
        <f ca="1"/>
        <v>-70438.133587421602</v>
      </c>
      <c r="AF36" s="14">
        <f ca="1"/>
        <v>-70438.133587421675</v>
      </c>
      <c r="AG36" s="14">
        <f ca="1"/>
        <v>-70438.133587423741</v>
      </c>
      <c r="AH36" s="14">
        <f ca="1"/>
        <v>-70438.133587423741</v>
      </c>
      <c r="AI36" s="14">
        <f ca="1"/>
        <v>-70438.133587420656</v>
      </c>
      <c r="AJ36" s="14">
        <f ca="1"/>
        <v>-70438.133587422155</v>
      </c>
      <c r="AK36" s="14">
        <f ca="1"/>
        <v>-70438.133587424687</v>
      </c>
      <c r="AL36" s="14">
        <f ca="1"/>
        <v>-70438.133587422708</v>
      </c>
      <c r="AM36" s="14">
        <f ca="1"/>
        <v>8698325.9302629903</v>
      </c>
      <c r="AN36" s="14">
        <f ca="1"/>
        <v>0</v>
      </c>
      <c r="AO36" s="14">
        <f ca="1"/>
        <v>0</v>
      </c>
      <c r="AP36" s="14">
        <f ca="1"/>
        <v>0</v>
      </c>
      <c r="AQ36" s="14">
        <f ca="1"/>
        <v>0</v>
      </c>
      <c r="AR36" s="14">
        <f ca="1"/>
        <v>0</v>
      </c>
      <c r="AS36" s="14">
        <f ca="1"/>
        <v>0</v>
      </c>
      <c r="AT36" s="14">
        <f ca="1"/>
        <v>0</v>
      </c>
      <c r="AU36" s="14">
        <f ca="1"/>
        <v>0</v>
      </c>
      <c r="AV36" s="14">
        <f ca="1"/>
        <v>0</v>
      </c>
      <c r="AW36" s="14">
        <f ca="1"/>
        <v>0</v>
      </c>
      <c r="AX36" s="14">
        <f ca="1"/>
        <v>0</v>
      </c>
      <c r="AY36" s="14">
        <f ca="1"/>
        <v>0</v>
      </c>
      <c r="AZ36" s="14">
        <f ca="1"/>
        <v>0</v>
      </c>
      <c r="BA36" s="14">
        <f ca="1"/>
        <v>0</v>
      </c>
      <c r="BB36" s="14">
        <f ca="1"/>
        <v>0</v>
      </c>
      <c r="BC36" s="14">
        <f ca="1"/>
        <v>0</v>
      </c>
      <c r="BD36" s="14">
        <f ca="1"/>
        <v>0</v>
      </c>
      <c r="BE36" s="14">
        <f ca="1"/>
        <v>0</v>
      </c>
      <c r="BF36" s="14">
        <f ca="1"/>
        <v>0</v>
      </c>
      <c r="BG36" s="14">
        <f ca="1"/>
        <v>0</v>
      </c>
      <c r="BH36" s="14">
        <f ca="1"/>
        <v>0</v>
      </c>
      <c r="BI36" s="14">
        <f ca="1"/>
        <v>0</v>
      </c>
      <c r="BJ36" s="14">
        <f ca="1"/>
        <v>0</v>
      </c>
      <c r="BK36" s="14">
        <f ca="1"/>
        <v>0</v>
      </c>
      <c r="BL36" s="14">
        <f ca="1"/>
        <v>0</v>
      </c>
      <c r="BM36" s="14">
        <f ca="1"/>
        <v>0</v>
      </c>
      <c r="BN36" s="14">
        <f ca="1"/>
        <v>0</v>
      </c>
      <c r="BO36" s="14">
        <f ca="1"/>
        <v>0</v>
      </c>
      <c r="BP36" s="14">
        <f ca="1"/>
        <v>0</v>
      </c>
      <c r="BQ36" s="14">
        <f ca="1"/>
        <v>0</v>
      </c>
      <c r="BR36" s="14">
        <f ca="1"/>
        <v>0</v>
      </c>
      <c r="BS36" s="14">
        <f ca="1"/>
        <v>0</v>
      </c>
      <c r="BT36" s="14">
        <f ca="1"/>
        <v>0</v>
      </c>
      <c r="BU36" s="14">
        <f ca="1"/>
        <v>0</v>
      </c>
      <c r="BV36" s="14">
        <f ca="1"/>
        <v>0</v>
      </c>
      <c r="BW36" s="14">
        <f ca="1"/>
        <v>0</v>
      </c>
      <c r="BX36" s="14">
        <f ca="1"/>
        <v>0</v>
      </c>
      <c r="BY36" s="14">
        <f ca="1"/>
        <v>0</v>
      </c>
      <c r="BZ36" s="14">
        <f ca="1"/>
        <v>0</v>
      </c>
      <c r="CA36" s="14">
        <f ca="1"/>
        <v>0</v>
      </c>
      <c r="CB36" s="14">
        <f ca="1"/>
        <v>0</v>
      </c>
      <c r="CC36" s="14">
        <f ca="1"/>
        <v>0</v>
      </c>
      <c r="CD36" s="14">
        <f ca="1"/>
        <v>0</v>
      </c>
      <c r="CE36" s="14">
        <f ca="1"/>
        <v>0</v>
      </c>
      <c r="CF36" s="14">
        <f ca="1"/>
        <v>0</v>
      </c>
      <c r="CG36" s="14">
        <f ca="1"/>
        <v>0</v>
      </c>
      <c r="CH36" s="14">
        <f ca="1"/>
        <v>0</v>
      </c>
      <c r="CI36" s="14">
        <f ca="1"/>
        <v>0</v>
      </c>
      <c r="CJ36" s="14">
        <f ca="1"/>
        <v>0</v>
      </c>
      <c r="CK36" s="14">
        <f ca="1"/>
        <v>0</v>
      </c>
      <c r="CL36" s="14">
        <f ca="1"/>
        <v>0</v>
      </c>
      <c r="CM36" s="14">
        <f ca="1"/>
        <v>0</v>
      </c>
      <c r="CN36" s="14">
        <f ca="1"/>
        <v>0</v>
      </c>
      <c r="CO36" s="14">
        <f ca="1"/>
        <v>0</v>
      </c>
      <c r="CP36" s="14">
        <f ca="1"/>
        <v>0</v>
      </c>
      <c r="CQ36" s="14">
        <f ca="1"/>
        <v>0</v>
      </c>
      <c r="CR36" s="14">
        <f ca="1"/>
        <v>0</v>
      </c>
      <c r="CS36" s="14">
        <f ca="1"/>
        <v>0</v>
      </c>
      <c r="CT36" s="14">
        <f ca="1"/>
        <v>0</v>
      </c>
      <c r="CU36" s="14">
        <f ca="1"/>
        <v>0</v>
      </c>
      <c r="CV36" s="14">
        <f ca="1"/>
        <v>0</v>
      </c>
      <c r="CW36" s="14">
        <f ca="1"/>
        <v>0</v>
      </c>
      <c r="CX36" s="14">
        <f ca="1"/>
        <v>0</v>
      </c>
      <c r="CY36" s="14">
        <f ca="1"/>
        <v>0</v>
      </c>
      <c r="CZ36" s="14">
        <f ca="1"/>
        <v>0</v>
      </c>
      <c r="DA36" s="14">
        <f ca="1"/>
        <v>0</v>
      </c>
      <c r="DB36" s="14">
        <f ca="1"/>
        <v>0</v>
      </c>
      <c r="DC36" s="14">
        <f ca="1"/>
        <v>0</v>
      </c>
      <c r="DD36" s="14">
        <f ca="1"/>
        <v>0</v>
      </c>
      <c r="DE36" s="14">
        <f ca="1"/>
        <v>0</v>
      </c>
      <c r="DF36" s="14">
        <f ca="1"/>
        <v>0</v>
      </c>
      <c r="DG36" s="14">
        <f ca="1"/>
        <v>0</v>
      </c>
      <c r="DH36" s="14">
        <f ca="1"/>
        <v>0</v>
      </c>
      <c r="DI36" s="14">
        <f ca="1"/>
        <v>0</v>
      </c>
      <c r="DJ36" s="14">
        <f ca="1"/>
        <v>0</v>
      </c>
      <c r="DK36" s="14">
        <f ca="1"/>
        <v>0</v>
      </c>
      <c r="DL36" s="14">
        <f ca="1"/>
        <v>0</v>
      </c>
      <c r="DM36" s="14">
        <f ca="1"/>
        <v>0</v>
      </c>
      <c r="DN36" s="14">
        <f ca="1"/>
        <v>0</v>
      </c>
      <c r="DO36" s="14">
        <f ca="1"/>
        <v>0</v>
      </c>
      <c r="DP36" s="14">
        <f ca="1"/>
        <v>0</v>
      </c>
      <c r="DQ36" s="14">
        <f ca="1"/>
        <v>0</v>
      </c>
      <c r="DR36" s="14">
        <f ca="1"/>
        <v>0</v>
      </c>
      <c r="DS36" s="14">
        <f ca="1"/>
        <v>0</v>
      </c>
    </row>
    <row r="37" spans="2:123" x14ac:dyDescent="0.4">
      <c r="B37" s="1" t="s">
        <v>101</v>
      </c>
      <c r="C37" s="14" cm="1">
        <f t="array" aca="1" ref="C37:DS37" ca="1">_xlfn.SCAN(0,NET_CASH_FLOW_PRE_REVOLVING,_xlfn.LAMBDA(_xlpm.bal,_xlpm.flow,_xlfn.LET(_xlpm.interest,_xlpm.bal*REVOLVING_INTEREST_RATE/12,_xlpm.netflow,_xlpm.flow-_xlpm.interest,MIN(REVOLVING_LIMIT,MAX(0,_xlpm.bal-_xlpm.netflow)))))</f>
        <v>1500000</v>
      </c>
      <c r="D37" s="14">
        <f ca="1"/>
        <v>1500000</v>
      </c>
      <c r="E37" s="14">
        <f ca="1"/>
        <v>1500000</v>
      </c>
      <c r="F37" s="14">
        <f ca="1"/>
        <v>1500000</v>
      </c>
      <c r="G37" s="14">
        <f ca="1"/>
        <v>1500000</v>
      </c>
      <c r="H37" s="14">
        <f ca="1"/>
        <v>1500000</v>
      </c>
      <c r="I37" s="14">
        <f ca="1"/>
        <v>1500000</v>
      </c>
      <c r="J37" s="14">
        <f ca="1"/>
        <v>1500000</v>
      </c>
      <c r="K37" s="14">
        <f ca="1"/>
        <v>1500000</v>
      </c>
      <c r="L37" s="14">
        <f ca="1"/>
        <v>1500000</v>
      </c>
      <c r="M37" s="14">
        <f ca="1"/>
        <v>1500000</v>
      </c>
      <c r="N37" s="14">
        <f ca="1"/>
        <v>1500000</v>
      </c>
      <c r="O37" s="14">
        <f ca="1"/>
        <v>1500000</v>
      </c>
      <c r="P37" s="14">
        <f ca="1"/>
        <v>1500000</v>
      </c>
      <c r="Q37" s="14">
        <f ca="1"/>
        <v>1500000</v>
      </c>
      <c r="R37" s="14">
        <f ca="1"/>
        <v>1500000</v>
      </c>
      <c r="S37" s="14">
        <f ca="1"/>
        <v>1500000</v>
      </c>
      <c r="T37" s="14">
        <f ca="1"/>
        <v>1500000</v>
      </c>
      <c r="U37" s="14">
        <f ca="1"/>
        <v>1500000</v>
      </c>
      <c r="V37" s="14">
        <f ca="1"/>
        <v>1500000</v>
      </c>
      <c r="W37" s="14">
        <f ca="1"/>
        <v>1500000</v>
      </c>
      <c r="X37" s="14">
        <f ca="1"/>
        <v>1500000</v>
      </c>
      <c r="Y37" s="14">
        <f ca="1"/>
        <v>1500000</v>
      </c>
      <c r="Z37" s="14">
        <f ca="1"/>
        <v>1500000</v>
      </c>
      <c r="AA37" s="14">
        <f ca="1"/>
        <v>1500000</v>
      </c>
      <c r="AB37" s="14">
        <f ca="1"/>
        <v>1500000</v>
      </c>
      <c r="AC37" s="14">
        <f ca="1"/>
        <v>1500000</v>
      </c>
      <c r="AD37" s="14">
        <f ca="1"/>
        <v>1500000</v>
      </c>
      <c r="AE37" s="14">
        <f ca="1"/>
        <v>1500000</v>
      </c>
      <c r="AF37" s="14">
        <f ca="1"/>
        <v>1500000</v>
      </c>
      <c r="AG37" s="14">
        <f ca="1"/>
        <v>1500000</v>
      </c>
      <c r="AH37" s="14">
        <f ca="1"/>
        <v>1500000</v>
      </c>
      <c r="AI37" s="14">
        <f ca="1"/>
        <v>1500000</v>
      </c>
      <c r="AJ37" s="14">
        <f ca="1"/>
        <v>1500000</v>
      </c>
      <c r="AK37" s="14">
        <f ca="1"/>
        <v>1500000</v>
      </c>
      <c r="AL37" s="14">
        <f ca="1"/>
        <v>1500000</v>
      </c>
      <c r="AM37" s="14">
        <f ca="1"/>
        <v>0</v>
      </c>
      <c r="AN37" s="14">
        <f ca="1"/>
        <v>0</v>
      </c>
      <c r="AO37" s="14">
        <f ca="1"/>
        <v>0</v>
      </c>
      <c r="AP37" s="14">
        <f ca="1"/>
        <v>0</v>
      </c>
      <c r="AQ37" s="14">
        <f ca="1"/>
        <v>0</v>
      </c>
      <c r="AR37" s="14">
        <f ca="1"/>
        <v>0</v>
      </c>
      <c r="AS37" s="14">
        <f ca="1"/>
        <v>0</v>
      </c>
      <c r="AT37" s="14">
        <f ca="1"/>
        <v>0</v>
      </c>
      <c r="AU37" s="14">
        <f ca="1"/>
        <v>0</v>
      </c>
      <c r="AV37" s="14">
        <f ca="1"/>
        <v>0</v>
      </c>
      <c r="AW37" s="14">
        <f ca="1"/>
        <v>0</v>
      </c>
      <c r="AX37" s="14">
        <f ca="1"/>
        <v>0</v>
      </c>
      <c r="AY37" s="14">
        <f ca="1"/>
        <v>0</v>
      </c>
      <c r="AZ37" s="14">
        <f ca="1"/>
        <v>0</v>
      </c>
      <c r="BA37" s="14">
        <f ca="1"/>
        <v>0</v>
      </c>
      <c r="BB37" s="14">
        <f ca="1"/>
        <v>0</v>
      </c>
      <c r="BC37" s="14">
        <f ca="1"/>
        <v>0</v>
      </c>
      <c r="BD37" s="14">
        <f ca="1"/>
        <v>0</v>
      </c>
      <c r="BE37" s="14">
        <f ca="1"/>
        <v>0</v>
      </c>
      <c r="BF37" s="14">
        <f ca="1"/>
        <v>0</v>
      </c>
      <c r="BG37" s="14">
        <f ca="1"/>
        <v>0</v>
      </c>
      <c r="BH37" s="14">
        <f ca="1"/>
        <v>0</v>
      </c>
      <c r="BI37" s="14">
        <f ca="1"/>
        <v>0</v>
      </c>
      <c r="BJ37" s="14">
        <f ca="1"/>
        <v>0</v>
      </c>
      <c r="BK37" s="14">
        <f ca="1"/>
        <v>0</v>
      </c>
      <c r="BL37" s="14">
        <f ca="1"/>
        <v>0</v>
      </c>
      <c r="BM37" s="14">
        <f ca="1"/>
        <v>0</v>
      </c>
      <c r="BN37" s="14">
        <f ca="1"/>
        <v>0</v>
      </c>
      <c r="BO37" s="14">
        <f ca="1"/>
        <v>0</v>
      </c>
      <c r="BP37" s="14">
        <f ca="1"/>
        <v>0</v>
      </c>
      <c r="BQ37" s="14">
        <f ca="1"/>
        <v>0</v>
      </c>
      <c r="BR37" s="14">
        <f ca="1"/>
        <v>0</v>
      </c>
      <c r="BS37" s="14">
        <f ca="1"/>
        <v>0</v>
      </c>
      <c r="BT37" s="14">
        <f ca="1"/>
        <v>0</v>
      </c>
      <c r="BU37" s="14">
        <f ca="1"/>
        <v>0</v>
      </c>
      <c r="BV37" s="14">
        <f ca="1"/>
        <v>0</v>
      </c>
      <c r="BW37" s="14">
        <f ca="1"/>
        <v>0</v>
      </c>
      <c r="BX37" s="14">
        <f ca="1"/>
        <v>0</v>
      </c>
      <c r="BY37" s="14">
        <f ca="1"/>
        <v>0</v>
      </c>
      <c r="BZ37" s="14">
        <f ca="1"/>
        <v>0</v>
      </c>
      <c r="CA37" s="14">
        <f ca="1"/>
        <v>0</v>
      </c>
      <c r="CB37" s="14">
        <f ca="1"/>
        <v>0</v>
      </c>
      <c r="CC37" s="14">
        <f ca="1"/>
        <v>0</v>
      </c>
      <c r="CD37" s="14">
        <f ca="1"/>
        <v>0</v>
      </c>
      <c r="CE37" s="14">
        <f ca="1"/>
        <v>0</v>
      </c>
      <c r="CF37" s="14">
        <f ca="1"/>
        <v>0</v>
      </c>
      <c r="CG37" s="14">
        <f ca="1"/>
        <v>0</v>
      </c>
      <c r="CH37" s="14">
        <f ca="1"/>
        <v>0</v>
      </c>
      <c r="CI37" s="14">
        <f ca="1"/>
        <v>0</v>
      </c>
      <c r="CJ37" s="14">
        <f ca="1"/>
        <v>0</v>
      </c>
      <c r="CK37" s="14">
        <f ca="1"/>
        <v>0</v>
      </c>
      <c r="CL37" s="14">
        <f ca="1"/>
        <v>0</v>
      </c>
      <c r="CM37" s="14">
        <f ca="1"/>
        <v>0</v>
      </c>
      <c r="CN37" s="14">
        <f ca="1"/>
        <v>0</v>
      </c>
      <c r="CO37" s="14">
        <f ca="1"/>
        <v>0</v>
      </c>
      <c r="CP37" s="14">
        <f ca="1"/>
        <v>0</v>
      </c>
      <c r="CQ37" s="14">
        <f ca="1"/>
        <v>0</v>
      </c>
      <c r="CR37" s="14">
        <f ca="1"/>
        <v>0</v>
      </c>
      <c r="CS37" s="14">
        <f ca="1"/>
        <v>0</v>
      </c>
      <c r="CT37" s="14">
        <f ca="1"/>
        <v>0</v>
      </c>
      <c r="CU37" s="14">
        <f ca="1"/>
        <v>0</v>
      </c>
      <c r="CV37" s="14">
        <f ca="1"/>
        <v>0</v>
      </c>
      <c r="CW37" s="14">
        <f ca="1"/>
        <v>0</v>
      </c>
      <c r="CX37" s="14">
        <f ca="1"/>
        <v>0</v>
      </c>
      <c r="CY37" s="14">
        <f ca="1"/>
        <v>0</v>
      </c>
      <c r="CZ37" s="14">
        <f ca="1"/>
        <v>0</v>
      </c>
      <c r="DA37" s="14">
        <f ca="1"/>
        <v>0</v>
      </c>
      <c r="DB37" s="14">
        <f ca="1"/>
        <v>0</v>
      </c>
      <c r="DC37" s="14">
        <f ca="1"/>
        <v>0</v>
      </c>
      <c r="DD37" s="14">
        <f ca="1"/>
        <v>0</v>
      </c>
      <c r="DE37" s="14">
        <f ca="1"/>
        <v>0</v>
      </c>
      <c r="DF37" s="14">
        <f ca="1"/>
        <v>0</v>
      </c>
      <c r="DG37" s="14">
        <f ca="1"/>
        <v>0</v>
      </c>
      <c r="DH37" s="14">
        <f ca="1"/>
        <v>0</v>
      </c>
      <c r="DI37" s="14">
        <f ca="1"/>
        <v>0</v>
      </c>
      <c r="DJ37" s="14">
        <f ca="1"/>
        <v>0</v>
      </c>
      <c r="DK37" s="14">
        <f ca="1"/>
        <v>0</v>
      </c>
      <c r="DL37" s="14">
        <f ca="1"/>
        <v>0</v>
      </c>
      <c r="DM37" s="14">
        <f ca="1"/>
        <v>0</v>
      </c>
      <c r="DN37" s="14">
        <f ca="1"/>
        <v>0</v>
      </c>
      <c r="DO37" s="14">
        <f ca="1"/>
        <v>0</v>
      </c>
      <c r="DP37" s="14">
        <f ca="1"/>
        <v>0</v>
      </c>
      <c r="DQ37" s="14">
        <f ca="1"/>
        <v>0</v>
      </c>
      <c r="DR37" s="14">
        <f ca="1"/>
        <v>0</v>
      </c>
      <c r="DS37" s="14">
        <f ca="1"/>
        <v>0</v>
      </c>
    </row>
    <row r="38" spans="2:123" x14ac:dyDescent="0.4">
      <c r="B38" s="5" t="s">
        <v>102</v>
      </c>
      <c r="C38" s="14" cm="1">
        <f t="array" aca="1" ref="C38:DS38" ca="1">_xlfn.MAP(MONTH_INDEX,_xlfn.LAMBDA(_xlpm.m,IF(_xlpm.m=0,MAX(0,INDEX(REVOLVING_BALANCE,1,1)),MAX(0,INDEX(REVOLVING_BALANCE,1,_xlpm.m+1)-INDEX(REVOLVING_BALANCE,1,_xlpm.m)))))</f>
        <v>1500000</v>
      </c>
      <c r="D38" s="14">
        <f ca="1"/>
        <v>0</v>
      </c>
      <c r="E38" s="14">
        <f ca="1"/>
        <v>0</v>
      </c>
      <c r="F38" s="14">
        <f ca="1"/>
        <v>0</v>
      </c>
      <c r="G38" s="14">
        <f ca="1"/>
        <v>0</v>
      </c>
      <c r="H38" s="14">
        <f ca="1"/>
        <v>0</v>
      </c>
      <c r="I38" s="14">
        <f ca="1"/>
        <v>0</v>
      </c>
      <c r="J38" s="14">
        <f ca="1"/>
        <v>0</v>
      </c>
      <c r="K38" s="14">
        <f ca="1"/>
        <v>0</v>
      </c>
      <c r="L38" s="14">
        <f ca="1"/>
        <v>0</v>
      </c>
      <c r="M38" s="14">
        <f ca="1"/>
        <v>0</v>
      </c>
      <c r="N38" s="14">
        <f ca="1"/>
        <v>0</v>
      </c>
      <c r="O38" s="14">
        <f ca="1"/>
        <v>0</v>
      </c>
      <c r="P38" s="14">
        <f ca="1"/>
        <v>0</v>
      </c>
      <c r="Q38" s="14">
        <f ca="1"/>
        <v>0</v>
      </c>
      <c r="R38" s="14">
        <f ca="1"/>
        <v>0</v>
      </c>
      <c r="S38" s="14">
        <f ca="1"/>
        <v>0</v>
      </c>
      <c r="T38" s="14">
        <f ca="1"/>
        <v>0</v>
      </c>
      <c r="U38" s="14">
        <f ca="1"/>
        <v>0</v>
      </c>
      <c r="V38" s="14">
        <f ca="1"/>
        <v>0</v>
      </c>
      <c r="W38" s="14">
        <f ca="1"/>
        <v>0</v>
      </c>
      <c r="X38" s="14">
        <f ca="1"/>
        <v>0</v>
      </c>
      <c r="Y38" s="14">
        <f ca="1"/>
        <v>0</v>
      </c>
      <c r="Z38" s="14">
        <f ca="1"/>
        <v>0</v>
      </c>
      <c r="AA38" s="14">
        <f ca="1"/>
        <v>0</v>
      </c>
      <c r="AB38" s="14">
        <f ca="1"/>
        <v>0</v>
      </c>
      <c r="AC38" s="14">
        <f ca="1"/>
        <v>0</v>
      </c>
      <c r="AD38" s="14">
        <f ca="1"/>
        <v>0</v>
      </c>
      <c r="AE38" s="14">
        <f ca="1"/>
        <v>0</v>
      </c>
      <c r="AF38" s="14">
        <f ca="1"/>
        <v>0</v>
      </c>
      <c r="AG38" s="14">
        <f ca="1"/>
        <v>0</v>
      </c>
      <c r="AH38" s="14">
        <f ca="1"/>
        <v>0</v>
      </c>
      <c r="AI38" s="14">
        <f ca="1"/>
        <v>0</v>
      </c>
      <c r="AJ38" s="14">
        <f ca="1"/>
        <v>0</v>
      </c>
      <c r="AK38" s="14">
        <f ca="1"/>
        <v>0</v>
      </c>
      <c r="AL38" s="14">
        <f ca="1"/>
        <v>0</v>
      </c>
      <c r="AM38" s="14">
        <f ca="1"/>
        <v>0</v>
      </c>
      <c r="AN38" s="14">
        <f ca="1"/>
        <v>0</v>
      </c>
      <c r="AO38" s="14">
        <f ca="1"/>
        <v>0</v>
      </c>
      <c r="AP38" s="14">
        <f ca="1"/>
        <v>0</v>
      </c>
      <c r="AQ38" s="14">
        <f ca="1"/>
        <v>0</v>
      </c>
      <c r="AR38" s="14">
        <f ca="1"/>
        <v>0</v>
      </c>
      <c r="AS38" s="14">
        <f ca="1"/>
        <v>0</v>
      </c>
      <c r="AT38" s="14">
        <f ca="1"/>
        <v>0</v>
      </c>
      <c r="AU38" s="14">
        <f ca="1"/>
        <v>0</v>
      </c>
      <c r="AV38" s="14">
        <f ca="1"/>
        <v>0</v>
      </c>
      <c r="AW38" s="14">
        <f ca="1"/>
        <v>0</v>
      </c>
      <c r="AX38" s="14">
        <f ca="1"/>
        <v>0</v>
      </c>
      <c r="AY38" s="14">
        <f ca="1"/>
        <v>0</v>
      </c>
      <c r="AZ38" s="14">
        <f ca="1"/>
        <v>0</v>
      </c>
      <c r="BA38" s="14">
        <f ca="1"/>
        <v>0</v>
      </c>
      <c r="BB38" s="14">
        <f ca="1"/>
        <v>0</v>
      </c>
      <c r="BC38" s="14">
        <f ca="1"/>
        <v>0</v>
      </c>
      <c r="BD38" s="14">
        <f ca="1"/>
        <v>0</v>
      </c>
      <c r="BE38" s="14">
        <f ca="1"/>
        <v>0</v>
      </c>
      <c r="BF38" s="14">
        <f ca="1"/>
        <v>0</v>
      </c>
      <c r="BG38" s="14">
        <f ca="1"/>
        <v>0</v>
      </c>
      <c r="BH38" s="14">
        <f ca="1"/>
        <v>0</v>
      </c>
      <c r="BI38" s="14">
        <f ca="1"/>
        <v>0</v>
      </c>
      <c r="BJ38" s="14">
        <f ca="1"/>
        <v>0</v>
      </c>
      <c r="BK38" s="14">
        <f ca="1"/>
        <v>0</v>
      </c>
      <c r="BL38" s="14">
        <f ca="1"/>
        <v>0</v>
      </c>
      <c r="BM38" s="14">
        <f ca="1"/>
        <v>0</v>
      </c>
      <c r="BN38" s="14">
        <f ca="1"/>
        <v>0</v>
      </c>
      <c r="BO38" s="14">
        <f ca="1"/>
        <v>0</v>
      </c>
      <c r="BP38" s="14">
        <f ca="1"/>
        <v>0</v>
      </c>
      <c r="BQ38" s="14">
        <f ca="1"/>
        <v>0</v>
      </c>
      <c r="BR38" s="14">
        <f ca="1"/>
        <v>0</v>
      </c>
      <c r="BS38" s="14">
        <f ca="1"/>
        <v>0</v>
      </c>
      <c r="BT38" s="14">
        <f ca="1"/>
        <v>0</v>
      </c>
      <c r="BU38" s="14">
        <f ca="1"/>
        <v>0</v>
      </c>
      <c r="BV38" s="14">
        <f ca="1"/>
        <v>0</v>
      </c>
      <c r="BW38" s="14">
        <f ca="1"/>
        <v>0</v>
      </c>
      <c r="BX38" s="14">
        <f ca="1"/>
        <v>0</v>
      </c>
      <c r="BY38" s="14">
        <f ca="1"/>
        <v>0</v>
      </c>
      <c r="BZ38" s="14">
        <f ca="1"/>
        <v>0</v>
      </c>
      <c r="CA38" s="14">
        <f ca="1"/>
        <v>0</v>
      </c>
      <c r="CB38" s="14">
        <f ca="1"/>
        <v>0</v>
      </c>
      <c r="CC38" s="14">
        <f ca="1"/>
        <v>0</v>
      </c>
      <c r="CD38" s="14">
        <f ca="1"/>
        <v>0</v>
      </c>
      <c r="CE38" s="14">
        <f ca="1"/>
        <v>0</v>
      </c>
      <c r="CF38" s="14">
        <f ca="1"/>
        <v>0</v>
      </c>
      <c r="CG38" s="14">
        <f ca="1"/>
        <v>0</v>
      </c>
      <c r="CH38" s="14">
        <f ca="1"/>
        <v>0</v>
      </c>
      <c r="CI38" s="14">
        <f ca="1"/>
        <v>0</v>
      </c>
      <c r="CJ38" s="14">
        <f ca="1"/>
        <v>0</v>
      </c>
      <c r="CK38" s="14">
        <f ca="1"/>
        <v>0</v>
      </c>
      <c r="CL38" s="14">
        <f ca="1"/>
        <v>0</v>
      </c>
      <c r="CM38" s="14">
        <f ca="1"/>
        <v>0</v>
      </c>
      <c r="CN38" s="14">
        <f ca="1"/>
        <v>0</v>
      </c>
      <c r="CO38" s="14">
        <f ca="1"/>
        <v>0</v>
      </c>
      <c r="CP38" s="14">
        <f ca="1"/>
        <v>0</v>
      </c>
      <c r="CQ38" s="14">
        <f ca="1"/>
        <v>0</v>
      </c>
      <c r="CR38" s="14">
        <f ca="1"/>
        <v>0</v>
      </c>
      <c r="CS38" s="14">
        <f ca="1"/>
        <v>0</v>
      </c>
      <c r="CT38" s="14">
        <f ca="1"/>
        <v>0</v>
      </c>
      <c r="CU38" s="14">
        <f ca="1"/>
        <v>0</v>
      </c>
      <c r="CV38" s="14">
        <f ca="1"/>
        <v>0</v>
      </c>
      <c r="CW38" s="14">
        <f ca="1"/>
        <v>0</v>
      </c>
      <c r="CX38" s="14">
        <f ca="1"/>
        <v>0</v>
      </c>
      <c r="CY38" s="14">
        <f ca="1"/>
        <v>0</v>
      </c>
      <c r="CZ38" s="14">
        <f ca="1"/>
        <v>0</v>
      </c>
      <c r="DA38" s="14">
        <f ca="1"/>
        <v>0</v>
      </c>
      <c r="DB38" s="14">
        <f ca="1"/>
        <v>0</v>
      </c>
      <c r="DC38" s="14">
        <f ca="1"/>
        <v>0</v>
      </c>
      <c r="DD38" s="14">
        <f ca="1"/>
        <v>0</v>
      </c>
      <c r="DE38" s="14">
        <f ca="1"/>
        <v>0</v>
      </c>
      <c r="DF38" s="14">
        <f ca="1"/>
        <v>0</v>
      </c>
      <c r="DG38" s="14">
        <f ca="1"/>
        <v>0</v>
      </c>
      <c r="DH38" s="14">
        <f ca="1"/>
        <v>0</v>
      </c>
      <c r="DI38" s="14">
        <f ca="1"/>
        <v>0</v>
      </c>
      <c r="DJ38" s="14">
        <f ca="1"/>
        <v>0</v>
      </c>
      <c r="DK38" s="14">
        <f ca="1"/>
        <v>0</v>
      </c>
      <c r="DL38" s="14">
        <f ca="1"/>
        <v>0</v>
      </c>
      <c r="DM38" s="14">
        <f ca="1"/>
        <v>0</v>
      </c>
      <c r="DN38" s="14">
        <f ca="1"/>
        <v>0</v>
      </c>
      <c r="DO38" s="14">
        <f ca="1"/>
        <v>0</v>
      </c>
      <c r="DP38" s="14">
        <f ca="1"/>
        <v>0</v>
      </c>
      <c r="DQ38" s="14">
        <f ca="1"/>
        <v>0</v>
      </c>
      <c r="DR38" s="14">
        <f ca="1"/>
        <v>0</v>
      </c>
      <c r="DS38" s="14">
        <f ca="1"/>
        <v>0</v>
      </c>
    </row>
    <row r="39" spans="2:123" x14ac:dyDescent="0.4">
      <c r="B39" s="5" t="s">
        <v>103</v>
      </c>
      <c r="C39" s="14" cm="1">
        <f t="array" aca="1" ref="C39:DS39" ca="1">_xlfn.MAP(MONTH_INDEX,_xlfn.LAMBDA(_xlpm.m,IF(_xlpm.m=0,0,MAX(0,INDEX(REVOLVING_BALANCE,1,_xlpm.m)-INDEX(REVOLVING_BALANCE,1,_xlpm.m+1)))))</f>
        <v>0</v>
      </c>
      <c r="D39" s="14">
        <f ca="1"/>
        <v>0</v>
      </c>
      <c r="E39" s="14">
        <f ca="1"/>
        <v>0</v>
      </c>
      <c r="F39" s="14">
        <f ca="1"/>
        <v>0</v>
      </c>
      <c r="G39" s="14">
        <f ca="1"/>
        <v>0</v>
      </c>
      <c r="H39" s="14">
        <f ca="1"/>
        <v>0</v>
      </c>
      <c r="I39" s="14">
        <f ca="1"/>
        <v>0</v>
      </c>
      <c r="J39" s="14">
        <f ca="1"/>
        <v>0</v>
      </c>
      <c r="K39" s="14">
        <f ca="1"/>
        <v>0</v>
      </c>
      <c r="L39" s="14">
        <f ca="1"/>
        <v>0</v>
      </c>
      <c r="M39" s="14">
        <f ca="1"/>
        <v>0</v>
      </c>
      <c r="N39" s="14">
        <f ca="1"/>
        <v>0</v>
      </c>
      <c r="O39" s="14">
        <f ca="1"/>
        <v>0</v>
      </c>
      <c r="P39" s="14">
        <f ca="1"/>
        <v>0</v>
      </c>
      <c r="Q39" s="14">
        <f ca="1"/>
        <v>0</v>
      </c>
      <c r="R39" s="14">
        <f ca="1"/>
        <v>0</v>
      </c>
      <c r="S39" s="14">
        <f ca="1"/>
        <v>0</v>
      </c>
      <c r="T39" s="14">
        <f ca="1"/>
        <v>0</v>
      </c>
      <c r="U39" s="14">
        <f ca="1"/>
        <v>0</v>
      </c>
      <c r="V39" s="14">
        <f ca="1"/>
        <v>0</v>
      </c>
      <c r="W39" s="14">
        <f ca="1"/>
        <v>0</v>
      </c>
      <c r="X39" s="14">
        <f ca="1"/>
        <v>0</v>
      </c>
      <c r="Y39" s="14">
        <f ca="1"/>
        <v>0</v>
      </c>
      <c r="Z39" s="14">
        <f ca="1"/>
        <v>0</v>
      </c>
      <c r="AA39" s="14">
        <f ca="1"/>
        <v>0</v>
      </c>
      <c r="AB39" s="14">
        <f ca="1"/>
        <v>0</v>
      </c>
      <c r="AC39" s="14">
        <f ca="1"/>
        <v>0</v>
      </c>
      <c r="AD39" s="14">
        <f ca="1"/>
        <v>0</v>
      </c>
      <c r="AE39" s="14">
        <f ca="1"/>
        <v>0</v>
      </c>
      <c r="AF39" s="14">
        <f ca="1"/>
        <v>0</v>
      </c>
      <c r="AG39" s="14">
        <f ca="1"/>
        <v>0</v>
      </c>
      <c r="AH39" s="14">
        <f ca="1"/>
        <v>0</v>
      </c>
      <c r="AI39" s="14">
        <f ca="1"/>
        <v>0</v>
      </c>
      <c r="AJ39" s="14">
        <f ca="1"/>
        <v>0</v>
      </c>
      <c r="AK39" s="14">
        <f ca="1"/>
        <v>0</v>
      </c>
      <c r="AL39" s="14">
        <f ca="1"/>
        <v>0</v>
      </c>
      <c r="AM39" s="14">
        <f ca="1"/>
        <v>1500000</v>
      </c>
      <c r="AN39" s="14">
        <f ca="1"/>
        <v>0</v>
      </c>
      <c r="AO39" s="14">
        <f ca="1"/>
        <v>0</v>
      </c>
      <c r="AP39" s="14">
        <f ca="1"/>
        <v>0</v>
      </c>
      <c r="AQ39" s="14">
        <f ca="1"/>
        <v>0</v>
      </c>
      <c r="AR39" s="14">
        <f ca="1"/>
        <v>0</v>
      </c>
      <c r="AS39" s="14">
        <f ca="1"/>
        <v>0</v>
      </c>
      <c r="AT39" s="14">
        <f ca="1"/>
        <v>0</v>
      </c>
      <c r="AU39" s="14">
        <f ca="1"/>
        <v>0</v>
      </c>
      <c r="AV39" s="14">
        <f ca="1"/>
        <v>0</v>
      </c>
      <c r="AW39" s="14">
        <f ca="1"/>
        <v>0</v>
      </c>
      <c r="AX39" s="14">
        <f ca="1"/>
        <v>0</v>
      </c>
      <c r="AY39" s="14">
        <f ca="1"/>
        <v>0</v>
      </c>
      <c r="AZ39" s="14">
        <f ca="1"/>
        <v>0</v>
      </c>
      <c r="BA39" s="14">
        <f ca="1"/>
        <v>0</v>
      </c>
      <c r="BB39" s="14">
        <f ca="1"/>
        <v>0</v>
      </c>
      <c r="BC39" s="14">
        <f ca="1"/>
        <v>0</v>
      </c>
      <c r="BD39" s="14">
        <f ca="1"/>
        <v>0</v>
      </c>
      <c r="BE39" s="14">
        <f ca="1"/>
        <v>0</v>
      </c>
      <c r="BF39" s="14">
        <f ca="1"/>
        <v>0</v>
      </c>
      <c r="BG39" s="14">
        <f ca="1"/>
        <v>0</v>
      </c>
      <c r="BH39" s="14">
        <f ca="1"/>
        <v>0</v>
      </c>
      <c r="BI39" s="14">
        <f ca="1"/>
        <v>0</v>
      </c>
      <c r="BJ39" s="14">
        <f ca="1"/>
        <v>0</v>
      </c>
      <c r="BK39" s="14">
        <f ca="1"/>
        <v>0</v>
      </c>
      <c r="BL39" s="14">
        <f ca="1"/>
        <v>0</v>
      </c>
      <c r="BM39" s="14">
        <f ca="1"/>
        <v>0</v>
      </c>
      <c r="BN39" s="14">
        <f ca="1"/>
        <v>0</v>
      </c>
      <c r="BO39" s="14">
        <f ca="1"/>
        <v>0</v>
      </c>
      <c r="BP39" s="14">
        <f ca="1"/>
        <v>0</v>
      </c>
      <c r="BQ39" s="14">
        <f ca="1"/>
        <v>0</v>
      </c>
      <c r="BR39" s="14">
        <f ca="1"/>
        <v>0</v>
      </c>
      <c r="BS39" s="14">
        <f ca="1"/>
        <v>0</v>
      </c>
      <c r="BT39" s="14">
        <f ca="1"/>
        <v>0</v>
      </c>
      <c r="BU39" s="14">
        <f ca="1"/>
        <v>0</v>
      </c>
      <c r="BV39" s="14">
        <f ca="1"/>
        <v>0</v>
      </c>
      <c r="BW39" s="14">
        <f ca="1"/>
        <v>0</v>
      </c>
      <c r="BX39" s="14">
        <f ca="1"/>
        <v>0</v>
      </c>
      <c r="BY39" s="14">
        <f ca="1"/>
        <v>0</v>
      </c>
      <c r="BZ39" s="14">
        <f ca="1"/>
        <v>0</v>
      </c>
      <c r="CA39" s="14">
        <f ca="1"/>
        <v>0</v>
      </c>
      <c r="CB39" s="14">
        <f ca="1"/>
        <v>0</v>
      </c>
      <c r="CC39" s="14">
        <f ca="1"/>
        <v>0</v>
      </c>
      <c r="CD39" s="14">
        <f ca="1"/>
        <v>0</v>
      </c>
      <c r="CE39" s="14">
        <f ca="1"/>
        <v>0</v>
      </c>
      <c r="CF39" s="14">
        <f ca="1"/>
        <v>0</v>
      </c>
      <c r="CG39" s="14">
        <f ca="1"/>
        <v>0</v>
      </c>
      <c r="CH39" s="14">
        <f ca="1"/>
        <v>0</v>
      </c>
      <c r="CI39" s="14">
        <f ca="1"/>
        <v>0</v>
      </c>
      <c r="CJ39" s="14">
        <f ca="1"/>
        <v>0</v>
      </c>
      <c r="CK39" s="14">
        <f ca="1"/>
        <v>0</v>
      </c>
      <c r="CL39" s="14">
        <f ca="1"/>
        <v>0</v>
      </c>
      <c r="CM39" s="14">
        <f ca="1"/>
        <v>0</v>
      </c>
      <c r="CN39" s="14">
        <f ca="1"/>
        <v>0</v>
      </c>
      <c r="CO39" s="14">
        <f ca="1"/>
        <v>0</v>
      </c>
      <c r="CP39" s="14">
        <f ca="1"/>
        <v>0</v>
      </c>
      <c r="CQ39" s="14">
        <f ca="1"/>
        <v>0</v>
      </c>
      <c r="CR39" s="14">
        <f ca="1"/>
        <v>0</v>
      </c>
      <c r="CS39" s="14">
        <f ca="1"/>
        <v>0</v>
      </c>
      <c r="CT39" s="14">
        <f ca="1"/>
        <v>0</v>
      </c>
      <c r="CU39" s="14">
        <f ca="1"/>
        <v>0</v>
      </c>
      <c r="CV39" s="14">
        <f ca="1"/>
        <v>0</v>
      </c>
      <c r="CW39" s="14">
        <f ca="1"/>
        <v>0</v>
      </c>
      <c r="CX39" s="14">
        <f ca="1"/>
        <v>0</v>
      </c>
      <c r="CY39" s="14">
        <f ca="1"/>
        <v>0</v>
      </c>
      <c r="CZ39" s="14">
        <f ca="1"/>
        <v>0</v>
      </c>
      <c r="DA39" s="14">
        <f ca="1"/>
        <v>0</v>
      </c>
      <c r="DB39" s="14">
        <f ca="1"/>
        <v>0</v>
      </c>
      <c r="DC39" s="14">
        <f ca="1"/>
        <v>0</v>
      </c>
      <c r="DD39" s="14">
        <f ca="1"/>
        <v>0</v>
      </c>
      <c r="DE39" s="14">
        <f ca="1"/>
        <v>0</v>
      </c>
      <c r="DF39" s="14">
        <f ca="1"/>
        <v>0</v>
      </c>
      <c r="DG39" s="14">
        <f ca="1"/>
        <v>0</v>
      </c>
      <c r="DH39" s="14">
        <f ca="1"/>
        <v>0</v>
      </c>
      <c r="DI39" s="14">
        <f ca="1"/>
        <v>0</v>
      </c>
      <c r="DJ39" s="14">
        <f ca="1"/>
        <v>0</v>
      </c>
      <c r="DK39" s="14">
        <f ca="1"/>
        <v>0</v>
      </c>
      <c r="DL39" s="14">
        <f ca="1"/>
        <v>0</v>
      </c>
      <c r="DM39" s="14">
        <f ca="1"/>
        <v>0</v>
      </c>
      <c r="DN39" s="14">
        <f ca="1"/>
        <v>0</v>
      </c>
      <c r="DO39" s="14">
        <f ca="1"/>
        <v>0</v>
      </c>
      <c r="DP39" s="14">
        <f ca="1"/>
        <v>0</v>
      </c>
      <c r="DQ39" s="14">
        <f ca="1"/>
        <v>0</v>
      </c>
      <c r="DR39" s="14">
        <f ca="1"/>
        <v>0</v>
      </c>
      <c r="DS39" s="14">
        <f ca="1"/>
        <v>0</v>
      </c>
    </row>
    <row r="40" spans="2:123" x14ac:dyDescent="0.4">
      <c r="B40" s="5" t="s">
        <v>104</v>
      </c>
      <c r="C40" s="14" cm="1">
        <f t="array" aca="1" ref="C40:DS40" ca="1">_xlfn.MAP(MONTH_INDEX,_xlfn.LAMBDA(_xlpm.m,IF(_xlpm.m=0,0,INDEX(REVOLVING_BALANCE,1,_xlpm.m)*REVOLVING_INTEREST_RATE/12)))</f>
        <v>0</v>
      </c>
      <c r="D40" s="14">
        <f ca="1"/>
        <v>11875</v>
      </c>
      <c r="E40" s="14">
        <f ca="1"/>
        <v>11875</v>
      </c>
      <c r="F40" s="14">
        <f ca="1"/>
        <v>11875</v>
      </c>
      <c r="G40" s="14">
        <f ca="1"/>
        <v>11875</v>
      </c>
      <c r="H40" s="14">
        <f ca="1"/>
        <v>11875</v>
      </c>
      <c r="I40" s="14">
        <f ca="1"/>
        <v>11875</v>
      </c>
      <c r="J40" s="14">
        <f ca="1"/>
        <v>11875</v>
      </c>
      <c r="K40" s="14">
        <f ca="1"/>
        <v>11875</v>
      </c>
      <c r="L40" s="14">
        <f ca="1"/>
        <v>11875</v>
      </c>
      <c r="M40" s="14">
        <f ca="1"/>
        <v>11875</v>
      </c>
      <c r="N40" s="14">
        <f ca="1"/>
        <v>11875</v>
      </c>
      <c r="O40" s="14">
        <f ca="1"/>
        <v>11875</v>
      </c>
      <c r="P40" s="14">
        <f ca="1"/>
        <v>11875</v>
      </c>
      <c r="Q40" s="14">
        <f ca="1"/>
        <v>11875</v>
      </c>
      <c r="R40" s="14">
        <f ca="1"/>
        <v>11875</v>
      </c>
      <c r="S40" s="14">
        <f ca="1"/>
        <v>11875</v>
      </c>
      <c r="T40" s="14">
        <f ca="1"/>
        <v>11875</v>
      </c>
      <c r="U40" s="14">
        <f ca="1"/>
        <v>11875</v>
      </c>
      <c r="V40" s="14">
        <f ca="1"/>
        <v>11875</v>
      </c>
      <c r="W40" s="14">
        <f ca="1"/>
        <v>11875</v>
      </c>
      <c r="X40" s="14">
        <f ca="1"/>
        <v>11875</v>
      </c>
      <c r="Y40" s="14">
        <f ca="1"/>
        <v>11875</v>
      </c>
      <c r="Z40" s="14">
        <f ca="1"/>
        <v>11875</v>
      </c>
      <c r="AA40" s="14">
        <f ca="1"/>
        <v>11875</v>
      </c>
      <c r="AB40" s="14">
        <f ca="1"/>
        <v>11875</v>
      </c>
      <c r="AC40" s="14">
        <f ca="1"/>
        <v>11875</v>
      </c>
      <c r="AD40" s="14">
        <f ca="1"/>
        <v>11875</v>
      </c>
      <c r="AE40" s="14">
        <f ca="1"/>
        <v>11875</v>
      </c>
      <c r="AF40" s="14">
        <f ca="1"/>
        <v>11875</v>
      </c>
      <c r="AG40" s="14">
        <f ca="1"/>
        <v>11875</v>
      </c>
      <c r="AH40" s="14">
        <f ca="1"/>
        <v>11875</v>
      </c>
      <c r="AI40" s="14">
        <f ca="1"/>
        <v>11875</v>
      </c>
      <c r="AJ40" s="14">
        <f ca="1"/>
        <v>11875</v>
      </c>
      <c r="AK40" s="14">
        <f ca="1"/>
        <v>11875</v>
      </c>
      <c r="AL40" s="14">
        <f ca="1"/>
        <v>11875</v>
      </c>
      <c r="AM40" s="14">
        <f ca="1"/>
        <v>11875</v>
      </c>
      <c r="AN40" s="14">
        <f ca="1"/>
        <v>0</v>
      </c>
      <c r="AO40" s="14">
        <f ca="1"/>
        <v>0</v>
      </c>
      <c r="AP40" s="14">
        <f ca="1"/>
        <v>0</v>
      </c>
      <c r="AQ40" s="14">
        <f ca="1"/>
        <v>0</v>
      </c>
      <c r="AR40" s="14">
        <f ca="1"/>
        <v>0</v>
      </c>
      <c r="AS40" s="14">
        <f ca="1"/>
        <v>0</v>
      </c>
      <c r="AT40" s="14">
        <f ca="1"/>
        <v>0</v>
      </c>
      <c r="AU40" s="14">
        <f ca="1"/>
        <v>0</v>
      </c>
      <c r="AV40" s="14">
        <f ca="1"/>
        <v>0</v>
      </c>
      <c r="AW40" s="14">
        <f ca="1"/>
        <v>0</v>
      </c>
      <c r="AX40" s="14">
        <f ca="1"/>
        <v>0</v>
      </c>
      <c r="AY40" s="14">
        <f ca="1"/>
        <v>0</v>
      </c>
      <c r="AZ40" s="14">
        <f ca="1"/>
        <v>0</v>
      </c>
      <c r="BA40" s="14">
        <f ca="1"/>
        <v>0</v>
      </c>
      <c r="BB40" s="14">
        <f ca="1"/>
        <v>0</v>
      </c>
      <c r="BC40" s="14">
        <f ca="1"/>
        <v>0</v>
      </c>
      <c r="BD40" s="14">
        <f ca="1"/>
        <v>0</v>
      </c>
      <c r="BE40" s="14">
        <f ca="1"/>
        <v>0</v>
      </c>
      <c r="BF40" s="14">
        <f ca="1"/>
        <v>0</v>
      </c>
      <c r="BG40" s="14">
        <f ca="1"/>
        <v>0</v>
      </c>
      <c r="BH40" s="14">
        <f ca="1"/>
        <v>0</v>
      </c>
      <c r="BI40" s="14">
        <f ca="1"/>
        <v>0</v>
      </c>
      <c r="BJ40" s="14">
        <f ca="1"/>
        <v>0</v>
      </c>
      <c r="BK40" s="14">
        <f ca="1"/>
        <v>0</v>
      </c>
      <c r="BL40" s="14">
        <f ca="1"/>
        <v>0</v>
      </c>
      <c r="BM40" s="14">
        <f ca="1"/>
        <v>0</v>
      </c>
      <c r="BN40" s="14">
        <f ca="1"/>
        <v>0</v>
      </c>
      <c r="BO40" s="14">
        <f ca="1"/>
        <v>0</v>
      </c>
      <c r="BP40" s="14">
        <f ca="1"/>
        <v>0</v>
      </c>
      <c r="BQ40" s="14">
        <f ca="1"/>
        <v>0</v>
      </c>
      <c r="BR40" s="14">
        <f ca="1"/>
        <v>0</v>
      </c>
      <c r="BS40" s="14">
        <f ca="1"/>
        <v>0</v>
      </c>
      <c r="BT40" s="14">
        <f ca="1"/>
        <v>0</v>
      </c>
      <c r="BU40" s="14">
        <f ca="1"/>
        <v>0</v>
      </c>
      <c r="BV40" s="14">
        <f ca="1"/>
        <v>0</v>
      </c>
      <c r="BW40" s="14">
        <f ca="1"/>
        <v>0</v>
      </c>
      <c r="BX40" s="14">
        <f ca="1"/>
        <v>0</v>
      </c>
      <c r="BY40" s="14">
        <f ca="1"/>
        <v>0</v>
      </c>
      <c r="BZ40" s="14">
        <f ca="1"/>
        <v>0</v>
      </c>
      <c r="CA40" s="14">
        <f ca="1"/>
        <v>0</v>
      </c>
      <c r="CB40" s="14">
        <f ca="1"/>
        <v>0</v>
      </c>
      <c r="CC40" s="14">
        <f ca="1"/>
        <v>0</v>
      </c>
      <c r="CD40" s="14">
        <f ca="1"/>
        <v>0</v>
      </c>
      <c r="CE40" s="14">
        <f ca="1"/>
        <v>0</v>
      </c>
      <c r="CF40" s="14">
        <f ca="1"/>
        <v>0</v>
      </c>
      <c r="CG40" s="14">
        <f ca="1"/>
        <v>0</v>
      </c>
      <c r="CH40" s="14">
        <f ca="1"/>
        <v>0</v>
      </c>
      <c r="CI40" s="14">
        <f ca="1"/>
        <v>0</v>
      </c>
      <c r="CJ40" s="14">
        <f ca="1"/>
        <v>0</v>
      </c>
      <c r="CK40" s="14">
        <f ca="1"/>
        <v>0</v>
      </c>
      <c r="CL40" s="14">
        <f ca="1"/>
        <v>0</v>
      </c>
      <c r="CM40" s="14">
        <f ca="1"/>
        <v>0</v>
      </c>
      <c r="CN40" s="14">
        <f ca="1"/>
        <v>0</v>
      </c>
      <c r="CO40" s="14">
        <f ca="1"/>
        <v>0</v>
      </c>
      <c r="CP40" s="14">
        <f ca="1"/>
        <v>0</v>
      </c>
      <c r="CQ40" s="14">
        <f ca="1"/>
        <v>0</v>
      </c>
      <c r="CR40" s="14">
        <f ca="1"/>
        <v>0</v>
      </c>
      <c r="CS40" s="14">
        <f ca="1"/>
        <v>0</v>
      </c>
      <c r="CT40" s="14">
        <f ca="1"/>
        <v>0</v>
      </c>
      <c r="CU40" s="14">
        <f ca="1"/>
        <v>0</v>
      </c>
      <c r="CV40" s="14">
        <f ca="1"/>
        <v>0</v>
      </c>
      <c r="CW40" s="14">
        <f ca="1"/>
        <v>0</v>
      </c>
      <c r="CX40" s="14">
        <f ca="1"/>
        <v>0</v>
      </c>
      <c r="CY40" s="14">
        <f ca="1"/>
        <v>0</v>
      </c>
      <c r="CZ40" s="14">
        <f ca="1"/>
        <v>0</v>
      </c>
      <c r="DA40" s="14">
        <f ca="1"/>
        <v>0</v>
      </c>
      <c r="DB40" s="14">
        <f ca="1"/>
        <v>0</v>
      </c>
      <c r="DC40" s="14">
        <f ca="1"/>
        <v>0</v>
      </c>
      <c r="DD40" s="14">
        <f ca="1"/>
        <v>0</v>
      </c>
      <c r="DE40" s="14">
        <f ca="1"/>
        <v>0</v>
      </c>
      <c r="DF40" s="14">
        <f ca="1"/>
        <v>0</v>
      </c>
      <c r="DG40" s="14">
        <f ca="1"/>
        <v>0</v>
      </c>
      <c r="DH40" s="14">
        <f ca="1"/>
        <v>0</v>
      </c>
      <c r="DI40" s="14">
        <f ca="1"/>
        <v>0</v>
      </c>
      <c r="DJ40" s="14">
        <f ca="1"/>
        <v>0</v>
      </c>
      <c r="DK40" s="14">
        <f ca="1"/>
        <v>0</v>
      </c>
      <c r="DL40" s="14">
        <f ca="1"/>
        <v>0</v>
      </c>
      <c r="DM40" s="14">
        <f ca="1"/>
        <v>0</v>
      </c>
      <c r="DN40" s="14">
        <f ca="1"/>
        <v>0</v>
      </c>
      <c r="DO40" s="14">
        <f ca="1"/>
        <v>0</v>
      </c>
      <c r="DP40" s="14">
        <f ca="1"/>
        <v>0</v>
      </c>
      <c r="DQ40" s="14">
        <f ca="1"/>
        <v>0</v>
      </c>
      <c r="DR40" s="14">
        <f ca="1"/>
        <v>0</v>
      </c>
      <c r="DS40" s="14">
        <f ca="1"/>
        <v>0</v>
      </c>
    </row>
    <row r="42" spans="2:123" ht="15.4" x14ac:dyDescent="0.4">
      <c r="B42" s="27" t="s">
        <v>105</v>
      </c>
      <c r="C42" s="27"/>
      <c r="D42" s="27"/>
      <c r="E42" s="27"/>
      <c r="F42" s="27"/>
      <c r="G42" s="27"/>
    </row>
    <row r="43" spans="2:123" x14ac:dyDescent="0.4">
      <c r="B43" s="1" t="s">
        <v>106</v>
      </c>
      <c r="C43" s="14" cm="1">
        <f t="array" aca="1" ref="C43:DS43" ca="1">NET_CASH_FLOW_PRE_REVOLVING+REVOLVING_DRAWDOWN-REVOLVING_REPAYMENT-REVOLVING_INTEREST_PMT</f>
        <v>-1325601.9213958215</v>
      </c>
      <c r="D43" s="14">
        <f ca="1"/>
        <v>-95804.040484108817</v>
      </c>
      <c r="E43" s="14">
        <f ca="1"/>
        <v>-111779.9833698013</v>
      </c>
      <c r="F43" s="14">
        <f ca="1"/>
        <v>-140686.49498338148</v>
      </c>
      <c r="G43" s="14">
        <f ca="1"/>
        <v>-187191.06808372075</v>
      </c>
      <c r="H43" s="14">
        <f ca="1"/>
        <v>-253213.10029076552</v>
      </c>
      <c r="I43" s="14">
        <f ca="1"/>
        <v>-333914.67708218296</v>
      </c>
      <c r="J43" s="14">
        <f ca="1"/>
        <v>-418521.85615229834</v>
      </c>
      <c r="K43" s="14">
        <f ca="1"/>
        <v>-488771.32832555781</v>
      </c>
      <c r="L43" s="14">
        <f ca="1"/>
        <v>-525975.10543414485</v>
      </c>
      <c r="M43" s="14">
        <f ca="1"/>
        <v>-517904.06382168905</v>
      </c>
      <c r="N43" s="14">
        <f ca="1"/>
        <v>-464225.08489299542</v>
      </c>
      <c r="O43" s="14">
        <f ca="1"/>
        <v>-377028.13475817954</v>
      </c>
      <c r="P43" s="14">
        <f ca="1"/>
        <v>-276130.27904161048</v>
      </c>
      <c r="Q43" s="14">
        <f ca="1"/>
        <v>-181783.2011319907</v>
      </c>
      <c r="R43" s="14">
        <f ca="1"/>
        <v>-108433.62509225029</v>
      </c>
      <c r="S43" s="14">
        <f ca="1"/>
        <v>-61929.051991907851</v>
      </c>
      <c r="T43" s="14">
        <f ca="1"/>
        <v>-40350.084211026122</v>
      </c>
      <c r="U43" s="14">
        <f ca="1"/>
        <v>-230647.40815170048</v>
      </c>
      <c r="V43" s="14">
        <f ca="1"/>
        <v>-44079.936524414443</v>
      </c>
      <c r="W43" s="14">
        <f ca="1"/>
        <v>-52652.808787667862</v>
      </c>
      <c r="X43" s="14">
        <f ca="1"/>
        <v>-64111.178013686469</v>
      </c>
      <c r="Y43" s="14">
        <f ca="1"/>
        <v>-72182.219626139413</v>
      </c>
      <c r="Z43" s="14">
        <f ca="1"/>
        <v>-77199.052220234327</v>
      </c>
      <c r="AA43" s="14">
        <f ca="1"/>
        <v>-46371.736522707775</v>
      </c>
      <c r="AB43" s="14">
        <f ca="1"/>
        <v>-81340.899295587558</v>
      </c>
      <c r="AC43" s="14">
        <f ca="1"/>
        <v>-82313.133587421893</v>
      </c>
      <c r="AD43" s="14">
        <f ca="1"/>
        <v>-82313.133587424032</v>
      </c>
      <c r="AE43" s="14">
        <f ca="1"/>
        <v>-82313.133587421602</v>
      </c>
      <c r="AF43" s="14">
        <f ca="1"/>
        <v>-82313.133587421675</v>
      </c>
      <c r="AG43" s="14">
        <f ca="1"/>
        <v>-82313.133587423741</v>
      </c>
      <c r="AH43" s="14">
        <f ca="1"/>
        <v>-82313.133587423741</v>
      </c>
      <c r="AI43" s="14">
        <f ca="1"/>
        <v>-82313.133587420656</v>
      </c>
      <c r="AJ43" s="14">
        <f ca="1"/>
        <v>-82313.133587422155</v>
      </c>
      <c r="AK43" s="14">
        <f ca="1"/>
        <v>-82313.133587424687</v>
      </c>
      <c r="AL43" s="14">
        <f ca="1"/>
        <v>-82313.133587422708</v>
      </c>
      <c r="AM43" s="14">
        <f ca="1"/>
        <v>7186450.9302629903</v>
      </c>
      <c r="AN43" s="14">
        <f ca="1"/>
        <v>0</v>
      </c>
      <c r="AO43" s="14">
        <f ca="1"/>
        <v>0</v>
      </c>
      <c r="AP43" s="14">
        <f ca="1"/>
        <v>0</v>
      </c>
      <c r="AQ43" s="14">
        <f ca="1"/>
        <v>0</v>
      </c>
      <c r="AR43" s="14">
        <f ca="1"/>
        <v>0</v>
      </c>
      <c r="AS43" s="14">
        <f ca="1"/>
        <v>0</v>
      </c>
      <c r="AT43" s="14">
        <f ca="1"/>
        <v>0</v>
      </c>
      <c r="AU43" s="14">
        <f ca="1"/>
        <v>0</v>
      </c>
      <c r="AV43" s="14">
        <f ca="1"/>
        <v>0</v>
      </c>
      <c r="AW43" s="14">
        <f ca="1"/>
        <v>0</v>
      </c>
      <c r="AX43" s="14">
        <f ca="1"/>
        <v>0</v>
      </c>
      <c r="AY43" s="14">
        <f ca="1"/>
        <v>0</v>
      </c>
      <c r="AZ43" s="14">
        <f ca="1"/>
        <v>0</v>
      </c>
      <c r="BA43" s="14">
        <f ca="1"/>
        <v>0</v>
      </c>
      <c r="BB43" s="14">
        <f ca="1"/>
        <v>0</v>
      </c>
      <c r="BC43" s="14">
        <f ca="1"/>
        <v>0</v>
      </c>
      <c r="BD43" s="14">
        <f ca="1"/>
        <v>0</v>
      </c>
      <c r="BE43" s="14">
        <f ca="1"/>
        <v>0</v>
      </c>
      <c r="BF43" s="14">
        <f ca="1"/>
        <v>0</v>
      </c>
      <c r="BG43" s="14">
        <f ca="1"/>
        <v>0</v>
      </c>
      <c r="BH43" s="14">
        <f ca="1"/>
        <v>0</v>
      </c>
      <c r="BI43" s="14">
        <f ca="1"/>
        <v>0</v>
      </c>
      <c r="BJ43" s="14">
        <f ca="1"/>
        <v>0</v>
      </c>
      <c r="BK43" s="14">
        <f ca="1"/>
        <v>0</v>
      </c>
      <c r="BL43" s="14">
        <f ca="1"/>
        <v>0</v>
      </c>
      <c r="BM43" s="14">
        <f ca="1"/>
        <v>0</v>
      </c>
      <c r="BN43" s="14">
        <f ca="1"/>
        <v>0</v>
      </c>
      <c r="BO43" s="14">
        <f ca="1"/>
        <v>0</v>
      </c>
      <c r="BP43" s="14">
        <f ca="1"/>
        <v>0</v>
      </c>
      <c r="BQ43" s="14">
        <f ca="1"/>
        <v>0</v>
      </c>
      <c r="BR43" s="14">
        <f ca="1"/>
        <v>0</v>
      </c>
      <c r="BS43" s="14">
        <f ca="1"/>
        <v>0</v>
      </c>
      <c r="BT43" s="14">
        <f ca="1"/>
        <v>0</v>
      </c>
      <c r="BU43" s="14">
        <f ca="1"/>
        <v>0</v>
      </c>
      <c r="BV43" s="14">
        <f ca="1"/>
        <v>0</v>
      </c>
      <c r="BW43" s="14">
        <f ca="1"/>
        <v>0</v>
      </c>
      <c r="BX43" s="14">
        <f ca="1"/>
        <v>0</v>
      </c>
      <c r="BY43" s="14">
        <f ca="1"/>
        <v>0</v>
      </c>
      <c r="BZ43" s="14">
        <f ca="1"/>
        <v>0</v>
      </c>
      <c r="CA43" s="14">
        <f ca="1"/>
        <v>0</v>
      </c>
      <c r="CB43" s="14">
        <f ca="1"/>
        <v>0</v>
      </c>
      <c r="CC43" s="14">
        <f ca="1"/>
        <v>0</v>
      </c>
      <c r="CD43" s="14">
        <f ca="1"/>
        <v>0</v>
      </c>
      <c r="CE43" s="14">
        <f ca="1"/>
        <v>0</v>
      </c>
      <c r="CF43" s="14">
        <f ca="1"/>
        <v>0</v>
      </c>
      <c r="CG43" s="14">
        <f ca="1"/>
        <v>0</v>
      </c>
      <c r="CH43" s="14">
        <f ca="1"/>
        <v>0</v>
      </c>
      <c r="CI43" s="14">
        <f ca="1"/>
        <v>0</v>
      </c>
      <c r="CJ43" s="14">
        <f ca="1"/>
        <v>0</v>
      </c>
      <c r="CK43" s="14">
        <f ca="1"/>
        <v>0</v>
      </c>
      <c r="CL43" s="14">
        <f ca="1"/>
        <v>0</v>
      </c>
      <c r="CM43" s="14">
        <f ca="1"/>
        <v>0</v>
      </c>
      <c r="CN43" s="14">
        <f ca="1"/>
        <v>0</v>
      </c>
      <c r="CO43" s="14">
        <f ca="1"/>
        <v>0</v>
      </c>
      <c r="CP43" s="14">
        <f ca="1"/>
        <v>0</v>
      </c>
      <c r="CQ43" s="14">
        <f ca="1"/>
        <v>0</v>
      </c>
      <c r="CR43" s="14">
        <f ca="1"/>
        <v>0</v>
      </c>
      <c r="CS43" s="14">
        <f ca="1"/>
        <v>0</v>
      </c>
      <c r="CT43" s="14">
        <f ca="1"/>
        <v>0</v>
      </c>
      <c r="CU43" s="14">
        <f ca="1"/>
        <v>0</v>
      </c>
      <c r="CV43" s="14">
        <f ca="1"/>
        <v>0</v>
      </c>
      <c r="CW43" s="14">
        <f ca="1"/>
        <v>0</v>
      </c>
      <c r="CX43" s="14">
        <f ca="1"/>
        <v>0</v>
      </c>
      <c r="CY43" s="14">
        <f ca="1"/>
        <v>0</v>
      </c>
      <c r="CZ43" s="14">
        <f ca="1"/>
        <v>0</v>
      </c>
      <c r="DA43" s="14">
        <f ca="1"/>
        <v>0</v>
      </c>
      <c r="DB43" s="14">
        <f ca="1"/>
        <v>0</v>
      </c>
      <c r="DC43" s="14">
        <f ca="1"/>
        <v>0</v>
      </c>
      <c r="DD43" s="14">
        <f ca="1"/>
        <v>0</v>
      </c>
      <c r="DE43" s="14">
        <f ca="1"/>
        <v>0</v>
      </c>
      <c r="DF43" s="14">
        <f ca="1"/>
        <v>0</v>
      </c>
      <c r="DG43" s="14">
        <f ca="1"/>
        <v>0</v>
      </c>
      <c r="DH43" s="14">
        <f ca="1"/>
        <v>0</v>
      </c>
      <c r="DI43" s="14">
        <f ca="1"/>
        <v>0</v>
      </c>
      <c r="DJ43" s="14">
        <f ca="1"/>
        <v>0</v>
      </c>
      <c r="DK43" s="14">
        <f ca="1"/>
        <v>0</v>
      </c>
      <c r="DL43" s="14">
        <f ca="1"/>
        <v>0</v>
      </c>
      <c r="DM43" s="14">
        <f ca="1"/>
        <v>0</v>
      </c>
      <c r="DN43" s="14">
        <f ca="1"/>
        <v>0</v>
      </c>
      <c r="DO43" s="14">
        <f ca="1"/>
        <v>0</v>
      </c>
      <c r="DP43" s="14">
        <f ca="1"/>
        <v>0</v>
      </c>
      <c r="DQ43" s="14">
        <f ca="1"/>
        <v>0</v>
      </c>
      <c r="DR43" s="14">
        <f ca="1"/>
        <v>0</v>
      </c>
      <c r="DS43" s="14">
        <f ca="1"/>
        <v>0</v>
      </c>
    </row>
    <row r="44" spans="2:123" x14ac:dyDescent="0.4">
      <c r="B44" s="1" t="s">
        <v>107</v>
      </c>
      <c r="C44" s="14" cm="1">
        <f t="array" aca="1" ref="C44:DS44" ca="1">NET_CASH_FLOW_LEVERED-MORTGAGE_DRAWDOWN+MORTGAGE_INTEREST_PMT+MORTGAGE_PRINCIPAL_PMT-REVOLVING_DRAWDOWN+REVOLVING_REPAYMENT+REVOLVING_INTEREST_PMT</f>
        <v>-6425601.9213958215</v>
      </c>
      <c r="D44" s="14">
        <f ca="1"/>
        <v>-13490.90689668557</v>
      </c>
      <c r="E44" s="14">
        <f ca="1"/>
        <v>-29466.849782378631</v>
      </c>
      <c r="F44" s="14">
        <f ca="1"/>
        <v>-58373.361395958011</v>
      </c>
      <c r="G44" s="14">
        <f ca="1"/>
        <v>-104877.9344962984</v>
      </c>
      <c r="H44" s="14">
        <f ca="1"/>
        <v>-170899.96670334274</v>
      </c>
      <c r="I44" s="14">
        <f ca="1"/>
        <v>-251601.54349475971</v>
      </c>
      <c r="J44" s="14">
        <f ca="1"/>
        <v>-336208.72256487497</v>
      </c>
      <c r="K44" s="14">
        <f ca="1"/>
        <v>-406458.19473813596</v>
      </c>
      <c r="L44" s="14">
        <f ca="1"/>
        <v>-443661.9718467216</v>
      </c>
      <c r="M44" s="14">
        <f ca="1"/>
        <v>-435590.93023426575</v>
      </c>
      <c r="N44" s="14">
        <f ca="1"/>
        <v>-381911.95130557194</v>
      </c>
      <c r="O44" s="14">
        <f ca="1"/>
        <v>-294715.00117075822</v>
      </c>
      <c r="P44" s="14">
        <f ca="1"/>
        <v>-193817.1454541884</v>
      </c>
      <c r="Q44" s="14">
        <f ca="1"/>
        <v>-99470.067544567224</v>
      </c>
      <c r="R44" s="14">
        <f ca="1"/>
        <v>-26120.491504826714</v>
      </c>
      <c r="S44" s="14">
        <f ca="1"/>
        <v>20384.081595513577</v>
      </c>
      <c r="T44" s="14">
        <f ca="1"/>
        <v>41963.049376396899</v>
      </c>
      <c r="U44" s="14">
        <f ca="1"/>
        <v>-148334.27456427753</v>
      </c>
      <c r="V44" s="14">
        <f ca="1"/>
        <v>38233.197063009087</v>
      </c>
      <c r="W44" s="14">
        <f ca="1"/>
        <v>29660.324799753696</v>
      </c>
      <c r="X44" s="14">
        <f ca="1"/>
        <v>18201.955573737738</v>
      </c>
      <c r="Y44" s="14">
        <f ca="1"/>
        <v>10130.913961281978</v>
      </c>
      <c r="Z44" s="14">
        <f ca="1"/>
        <v>5114.0813671896758</v>
      </c>
      <c r="AA44" s="14">
        <f ca="1"/>
        <v>35941.397064714016</v>
      </c>
      <c r="AB44" s="14">
        <f ca="1"/>
        <v>972.2342918368231</v>
      </c>
      <c r="AC44" s="14">
        <f ca="1"/>
        <v>0</v>
      </c>
      <c r="AD44" s="14">
        <f ca="1"/>
        <v>0</v>
      </c>
      <c r="AE44" s="14">
        <f ca="1"/>
        <v>0</v>
      </c>
      <c r="AF44" s="14">
        <f ca="1"/>
        <v>0</v>
      </c>
      <c r="AG44" s="14">
        <f ca="1"/>
        <v>0</v>
      </c>
      <c r="AH44" s="14">
        <f ca="1"/>
        <v>0</v>
      </c>
      <c r="AI44" s="14">
        <f ca="1"/>
        <v>0</v>
      </c>
      <c r="AJ44" s="14">
        <f ca="1"/>
        <v>0</v>
      </c>
      <c r="AK44" s="14">
        <f ca="1"/>
        <v>0</v>
      </c>
      <c r="AL44" s="14">
        <f ca="1"/>
        <v>0</v>
      </c>
      <c r="AM44" s="14">
        <f ca="1"/>
        <v>10350000</v>
      </c>
      <c r="AN44" s="14">
        <f ca="1"/>
        <v>0</v>
      </c>
      <c r="AO44" s="14">
        <f ca="1"/>
        <v>0</v>
      </c>
      <c r="AP44" s="14">
        <f ca="1"/>
        <v>0</v>
      </c>
      <c r="AQ44" s="14">
        <f ca="1"/>
        <v>0</v>
      </c>
      <c r="AR44" s="14">
        <f ca="1"/>
        <v>0</v>
      </c>
      <c r="AS44" s="14">
        <f ca="1"/>
        <v>0</v>
      </c>
      <c r="AT44" s="14">
        <f ca="1"/>
        <v>0</v>
      </c>
      <c r="AU44" s="14">
        <f ca="1"/>
        <v>0</v>
      </c>
      <c r="AV44" s="14">
        <f ca="1"/>
        <v>0</v>
      </c>
      <c r="AW44" s="14">
        <f ca="1"/>
        <v>0</v>
      </c>
      <c r="AX44" s="14">
        <f ca="1"/>
        <v>0</v>
      </c>
      <c r="AY44" s="14">
        <f ca="1"/>
        <v>0</v>
      </c>
      <c r="AZ44" s="14">
        <f ca="1"/>
        <v>0</v>
      </c>
      <c r="BA44" s="14">
        <f ca="1"/>
        <v>0</v>
      </c>
      <c r="BB44" s="14">
        <f ca="1"/>
        <v>0</v>
      </c>
      <c r="BC44" s="14">
        <f ca="1"/>
        <v>0</v>
      </c>
      <c r="BD44" s="14">
        <f ca="1"/>
        <v>0</v>
      </c>
      <c r="BE44" s="14">
        <f ca="1"/>
        <v>0</v>
      </c>
      <c r="BF44" s="14">
        <f ca="1"/>
        <v>0</v>
      </c>
      <c r="BG44" s="14">
        <f ca="1"/>
        <v>0</v>
      </c>
      <c r="BH44" s="14">
        <f ca="1"/>
        <v>0</v>
      </c>
      <c r="BI44" s="14">
        <f ca="1"/>
        <v>0</v>
      </c>
      <c r="BJ44" s="14">
        <f ca="1"/>
        <v>0</v>
      </c>
      <c r="BK44" s="14">
        <f ca="1"/>
        <v>0</v>
      </c>
      <c r="BL44" s="14">
        <f ca="1"/>
        <v>0</v>
      </c>
      <c r="BM44" s="14">
        <f ca="1"/>
        <v>0</v>
      </c>
      <c r="BN44" s="14">
        <f ca="1"/>
        <v>0</v>
      </c>
      <c r="BO44" s="14">
        <f ca="1"/>
        <v>0</v>
      </c>
      <c r="BP44" s="14">
        <f ca="1"/>
        <v>0</v>
      </c>
      <c r="BQ44" s="14">
        <f ca="1"/>
        <v>0</v>
      </c>
      <c r="BR44" s="14">
        <f ca="1"/>
        <v>0</v>
      </c>
      <c r="BS44" s="14">
        <f ca="1"/>
        <v>0</v>
      </c>
      <c r="BT44" s="14">
        <f ca="1"/>
        <v>0</v>
      </c>
      <c r="BU44" s="14">
        <f ca="1"/>
        <v>0</v>
      </c>
      <c r="BV44" s="14">
        <f ca="1"/>
        <v>0</v>
      </c>
      <c r="BW44" s="14">
        <f ca="1"/>
        <v>0</v>
      </c>
      <c r="BX44" s="14">
        <f ca="1"/>
        <v>0</v>
      </c>
      <c r="BY44" s="14">
        <f ca="1"/>
        <v>0</v>
      </c>
      <c r="BZ44" s="14">
        <f ca="1"/>
        <v>0</v>
      </c>
      <c r="CA44" s="14">
        <f ca="1"/>
        <v>0</v>
      </c>
      <c r="CB44" s="14">
        <f ca="1"/>
        <v>0</v>
      </c>
      <c r="CC44" s="14">
        <f ca="1"/>
        <v>0</v>
      </c>
      <c r="CD44" s="14">
        <f ca="1"/>
        <v>0</v>
      </c>
      <c r="CE44" s="14">
        <f ca="1"/>
        <v>0</v>
      </c>
      <c r="CF44" s="14">
        <f ca="1"/>
        <v>0</v>
      </c>
      <c r="CG44" s="14">
        <f ca="1"/>
        <v>0</v>
      </c>
      <c r="CH44" s="14">
        <f ca="1"/>
        <v>0</v>
      </c>
      <c r="CI44" s="14">
        <f ca="1"/>
        <v>0</v>
      </c>
      <c r="CJ44" s="14">
        <f ca="1"/>
        <v>0</v>
      </c>
      <c r="CK44" s="14">
        <f ca="1"/>
        <v>0</v>
      </c>
      <c r="CL44" s="14">
        <f ca="1"/>
        <v>0</v>
      </c>
      <c r="CM44" s="14">
        <f ca="1"/>
        <v>0</v>
      </c>
      <c r="CN44" s="14">
        <f ca="1"/>
        <v>0</v>
      </c>
      <c r="CO44" s="14">
        <f ca="1"/>
        <v>0</v>
      </c>
      <c r="CP44" s="14">
        <f ca="1"/>
        <v>0</v>
      </c>
      <c r="CQ44" s="14">
        <f ca="1"/>
        <v>0</v>
      </c>
      <c r="CR44" s="14">
        <f ca="1"/>
        <v>0</v>
      </c>
      <c r="CS44" s="14">
        <f ca="1"/>
        <v>0</v>
      </c>
      <c r="CT44" s="14">
        <f ca="1"/>
        <v>0</v>
      </c>
      <c r="CU44" s="14">
        <f ca="1"/>
        <v>0</v>
      </c>
      <c r="CV44" s="14">
        <f ca="1"/>
        <v>0</v>
      </c>
      <c r="CW44" s="14">
        <f ca="1"/>
        <v>0</v>
      </c>
      <c r="CX44" s="14">
        <f ca="1"/>
        <v>0</v>
      </c>
      <c r="CY44" s="14">
        <f ca="1"/>
        <v>0</v>
      </c>
      <c r="CZ44" s="14">
        <f ca="1"/>
        <v>0</v>
      </c>
      <c r="DA44" s="14">
        <f ca="1"/>
        <v>0</v>
      </c>
      <c r="DB44" s="14">
        <f ca="1"/>
        <v>0</v>
      </c>
      <c r="DC44" s="14">
        <f ca="1"/>
        <v>0</v>
      </c>
      <c r="DD44" s="14">
        <f ca="1"/>
        <v>0</v>
      </c>
      <c r="DE44" s="14">
        <f ca="1"/>
        <v>0</v>
      </c>
      <c r="DF44" s="14">
        <f ca="1"/>
        <v>0</v>
      </c>
      <c r="DG44" s="14">
        <f ca="1"/>
        <v>0</v>
      </c>
      <c r="DH44" s="14">
        <f ca="1"/>
        <v>0</v>
      </c>
      <c r="DI44" s="14">
        <f ca="1"/>
        <v>0</v>
      </c>
      <c r="DJ44" s="14">
        <f ca="1"/>
        <v>0</v>
      </c>
      <c r="DK44" s="14">
        <f ca="1"/>
        <v>0</v>
      </c>
      <c r="DL44" s="14">
        <f ca="1"/>
        <v>0</v>
      </c>
      <c r="DM44" s="14">
        <f ca="1"/>
        <v>0</v>
      </c>
      <c r="DN44" s="14">
        <f ca="1"/>
        <v>0</v>
      </c>
      <c r="DO44" s="14">
        <f ca="1"/>
        <v>0</v>
      </c>
      <c r="DP44" s="14">
        <f ca="1"/>
        <v>0</v>
      </c>
      <c r="DQ44" s="14">
        <f ca="1"/>
        <v>0</v>
      </c>
      <c r="DR44" s="14">
        <f ca="1"/>
        <v>0</v>
      </c>
      <c r="DS44" s="14">
        <f ca="1"/>
        <v>0</v>
      </c>
    </row>
    <row r="45" spans="2:123" x14ac:dyDescent="0.4">
      <c r="B45" s="1" t="s">
        <v>108</v>
      </c>
      <c r="C45" s="14" cm="1">
        <f t="array" aca="1" ref="C45:DS45" ca="1">_xlfn.SCAN(0,NET_CASH_FLOW_LEVERED,_xlfn.LAMBDA(_xlpm.acc,_xlpm.v,_xlpm.acc+_xlpm.v))</f>
        <v>-1325601.9213958215</v>
      </c>
      <c r="D45" s="14">
        <f ca="1"/>
        <v>-1421405.9618799302</v>
      </c>
      <c r="E45" s="14">
        <f ca="1"/>
        <v>-1533185.9452497314</v>
      </c>
      <c r="F45" s="14">
        <f ca="1"/>
        <v>-1673872.4402331128</v>
      </c>
      <c r="G45" s="14">
        <f ca="1"/>
        <v>-1861063.5083168335</v>
      </c>
      <c r="H45" s="14">
        <f ca="1"/>
        <v>-2114276.608607599</v>
      </c>
      <c r="I45" s="14">
        <f ca="1"/>
        <v>-2448191.2856897819</v>
      </c>
      <c r="J45" s="14">
        <f ca="1"/>
        <v>-2866713.1418420803</v>
      </c>
      <c r="K45" s="14">
        <f ca="1"/>
        <v>-3355484.4701676383</v>
      </c>
      <c r="L45" s="14">
        <f ca="1"/>
        <v>-3881459.5756017831</v>
      </c>
      <c r="M45" s="14">
        <f ca="1"/>
        <v>-4399363.6394234719</v>
      </c>
      <c r="N45" s="14">
        <f ca="1"/>
        <v>-4863588.7243164675</v>
      </c>
      <c r="O45" s="14">
        <f ca="1"/>
        <v>-5240616.8590746466</v>
      </c>
      <c r="P45" s="14">
        <f ca="1"/>
        <v>-5516747.1381162573</v>
      </c>
      <c r="Q45" s="14">
        <f ca="1"/>
        <v>-5698530.3392482484</v>
      </c>
      <c r="R45" s="14">
        <f ca="1"/>
        <v>-5806963.9643404987</v>
      </c>
      <c r="S45" s="14">
        <f ca="1"/>
        <v>-5868893.0163324066</v>
      </c>
      <c r="T45" s="14">
        <f ca="1"/>
        <v>-5909243.1005434329</v>
      </c>
      <c r="U45" s="14">
        <f ca="1"/>
        <v>-6139890.508695133</v>
      </c>
      <c r="V45" s="14">
        <f ca="1"/>
        <v>-6183970.4452195475</v>
      </c>
      <c r="W45" s="14">
        <f ca="1"/>
        <v>-6236623.2540072156</v>
      </c>
      <c r="X45" s="14">
        <f ca="1"/>
        <v>-6300734.4320209017</v>
      </c>
      <c r="Y45" s="14">
        <f ca="1"/>
        <v>-6372916.6516470416</v>
      </c>
      <c r="Z45" s="14">
        <f ca="1"/>
        <v>-6450115.7038672762</v>
      </c>
      <c r="AA45" s="14">
        <f ca="1"/>
        <v>-6496487.4403899843</v>
      </c>
      <c r="AB45" s="14">
        <f ca="1"/>
        <v>-6577828.3396855723</v>
      </c>
      <c r="AC45" s="14">
        <f ca="1"/>
        <v>-6660141.4732729942</v>
      </c>
      <c r="AD45" s="14">
        <f ca="1"/>
        <v>-6742454.6068604179</v>
      </c>
      <c r="AE45" s="14">
        <f ca="1"/>
        <v>-6824767.7404478397</v>
      </c>
      <c r="AF45" s="14">
        <f ca="1"/>
        <v>-6907080.8740352616</v>
      </c>
      <c r="AG45" s="14">
        <f ca="1"/>
        <v>-6989394.0076226853</v>
      </c>
      <c r="AH45" s="14">
        <f ca="1"/>
        <v>-7071707.141210109</v>
      </c>
      <c r="AI45" s="14">
        <f ca="1"/>
        <v>-7154020.2747975299</v>
      </c>
      <c r="AJ45" s="14">
        <f ca="1"/>
        <v>-7236333.4083849518</v>
      </c>
      <c r="AK45" s="14">
        <f ca="1"/>
        <v>-7318646.5419723764</v>
      </c>
      <c r="AL45" s="14">
        <f ca="1"/>
        <v>-7400959.6755597992</v>
      </c>
      <c r="AM45" s="14">
        <f ca="1"/>
        <v>-214508.74529680889</v>
      </c>
      <c r="AN45" s="14">
        <f ca="1"/>
        <v>-214508.74529680889</v>
      </c>
      <c r="AO45" s="14">
        <f ca="1"/>
        <v>-214508.74529680889</v>
      </c>
      <c r="AP45" s="14">
        <f ca="1"/>
        <v>-214508.74529680889</v>
      </c>
      <c r="AQ45" s="14">
        <f ca="1"/>
        <v>-214508.74529680889</v>
      </c>
      <c r="AR45" s="14">
        <f ca="1"/>
        <v>-214508.74529680889</v>
      </c>
      <c r="AS45" s="14">
        <f ca="1"/>
        <v>-214508.74529680889</v>
      </c>
      <c r="AT45" s="14">
        <f ca="1"/>
        <v>-214508.74529680889</v>
      </c>
      <c r="AU45" s="14">
        <f ca="1"/>
        <v>-214508.74529680889</v>
      </c>
      <c r="AV45" s="14">
        <f ca="1"/>
        <v>-214508.74529680889</v>
      </c>
      <c r="AW45" s="14">
        <f ca="1"/>
        <v>-214508.74529680889</v>
      </c>
      <c r="AX45" s="14">
        <f ca="1"/>
        <v>-214508.74529680889</v>
      </c>
      <c r="AY45" s="14">
        <f ca="1"/>
        <v>-214508.74529680889</v>
      </c>
      <c r="AZ45" s="14">
        <f ca="1"/>
        <v>-214508.74529680889</v>
      </c>
      <c r="BA45" s="14">
        <f ca="1"/>
        <v>-214508.74529680889</v>
      </c>
      <c r="BB45" s="14">
        <f ca="1"/>
        <v>-214508.74529680889</v>
      </c>
      <c r="BC45" s="14">
        <f ca="1"/>
        <v>-214508.74529680889</v>
      </c>
      <c r="BD45" s="14">
        <f ca="1"/>
        <v>-214508.74529680889</v>
      </c>
      <c r="BE45" s="14">
        <f ca="1"/>
        <v>-214508.74529680889</v>
      </c>
      <c r="BF45" s="14">
        <f ca="1"/>
        <v>-214508.74529680889</v>
      </c>
      <c r="BG45" s="14">
        <f ca="1"/>
        <v>-214508.74529680889</v>
      </c>
      <c r="BH45" s="14">
        <f ca="1"/>
        <v>-214508.74529680889</v>
      </c>
      <c r="BI45" s="14">
        <f ca="1"/>
        <v>-214508.74529680889</v>
      </c>
      <c r="BJ45" s="14">
        <f ca="1"/>
        <v>-214508.74529680889</v>
      </c>
      <c r="BK45" s="14">
        <f ca="1"/>
        <v>-214508.74529680889</v>
      </c>
      <c r="BL45" s="14">
        <f ca="1"/>
        <v>-214508.74529680889</v>
      </c>
      <c r="BM45" s="14">
        <f ca="1"/>
        <v>-214508.74529680889</v>
      </c>
      <c r="BN45" s="14">
        <f ca="1"/>
        <v>-214508.74529680889</v>
      </c>
      <c r="BO45" s="14">
        <f ca="1"/>
        <v>-214508.74529680889</v>
      </c>
      <c r="BP45" s="14">
        <f ca="1"/>
        <v>-214508.74529680889</v>
      </c>
      <c r="BQ45" s="14">
        <f ca="1"/>
        <v>-214508.74529680889</v>
      </c>
      <c r="BR45" s="14">
        <f ca="1"/>
        <v>-214508.74529680889</v>
      </c>
      <c r="BS45" s="14">
        <f ca="1"/>
        <v>-214508.74529680889</v>
      </c>
      <c r="BT45" s="14">
        <f ca="1"/>
        <v>-214508.74529680889</v>
      </c>
      <c r="BU45" s="14">
        <f ca="1"/>
        <v>-214508.74529680889</v>
      </c>
      <c r="BV45" s="14">
        <f ca="1"/>
        <v>-214508.74529680889</v>
      </c>
      <c r="BW45" s="14">
        <f ca="1"/>
        <v>-214508.74529680889</v>
      </c>
      <c r="BX45" s="14">
        <f ca="1"/>
        <v>-214508.74529680889</v>
      </c>
      <c r="BY45" s="14">
        <f ca="1"/>
        <v>-214508.74529680889</v>
      </c>
      <c r="BZ45" s="14">
        <f ca="1"/>
        <v>-214508.74529680889</v>
      </c>
      <c r="CA45" s="14">
        <f ca="1"/>
        <v>-214508.74529680889</v>
      </c>
      <c r="CB45" s="14">
        <f ca="1"/>
        <v>-214508.74529680889</v>
      </c>
      <c r="CC45" s="14">
        <f ca="1"/>
        <v>-214508.74529680889</v>
      </c>
      <c r="CD45" s="14">
        <f ca="1"/>
        <v>-214508.74529680889</v>
      </c>
      <c r="CE45" s="14">
        <f ca="1"/>
        <v>-214508.74529680889</v>
      </c>
      <c r="CF45" s="14">
        <f ca="1"/>
        <v>-214508.74529680889</v>
      </c>
      <c r="CG45" s="14">
        <f ca="1"/>
        <v>-214508.74529680889</v>
      </c>
      <c r="CH45" s="14">
        <f ca="1"/>
        <v>-214508.74529680889</v>
      </c>
      <c r="CI45" s="14">
        <f ca="1"/>
        <v>-214508.74529680889</v>
      </c>
      <c r="CJ45" s="14">
        <f ca="1"/>
        <v>-214508.74529680889</v>
      </c>
      <c r="CK45" s="14">
        <f ca="1"/>
        <v>-214508.74529680889</v>
      </c>
      <c r="CL45" s="14">
        <f ca="1"/>
        <v>-214508.74529680889</v>
      </c>
      <c r="CM45" s="14">
        <f ca="1"/>
        <v>-214508.74529680889</v>
      </c>
      <c r="CN45" s="14">
        <f ca="1"/>
        <v>-214508.74529680889</v>
      </c>
      <c r="CO45" s="14">
        <f ca="1"/>
        <v>-214508.74529680889</v>
      </c>
      <c r="CP45" s="14">
        <f ca="1"/>
        <v>-214508.74529680889</v>
      </c>
      <c r="CQ45" s="14">
        <f ca="1"/>
        <v>-214508.74529680889</v>
      </c>
      <c r="CR45" s="14">
        <f ca="1"/>
        <v>-214508.74529680889</v>
      </c>
      <c r="CS45" s="14">
        <f ca="1"/>
        <v>-214508.74529680889</v>
      </c>
      <c r="CT45" s="14">
        <f ca="1"/>
        <v>-214508.74529680889</v>
      </c>
      <c r="CU45" s="14">
        <f ca="1"/>
        <v>-214508.74529680889</v>
      </c>
      <c r="CV45" s="14">
        <f ca="1"/>
        <v>-214508.74529680889</v>
      </c>
      <c r="CW45" s="14">
        <f ca="1"/>
        <v>-214508.74529680889</v>
      </c>
      <c r="CX45" s="14">
        <f ca="1"/>
        <v>-214508.74529680889</v>
      </c>
      <c r="CY45" s="14">
        <f ca="1"/>
        <v>-214508.74529680889</v>
      </c>
      <c r="CZ45" s="14">
        <f ca="1"/>
        <v>-214508.74529680889</v>
      </c>
      <c r="DA45" s="14">
        <f ca="1"/>
        <v>-214508.74529680889</v>
      </c>
      <c r="DB45" s="14">
        <f ca="1"/>
        <v>-214508.74529680889</v>
      </c>
      <c r="DC45" s="14">
        <f ca="1"/>
        <v>-214508.74529680889</v>
      </c>
      <c r="DD45" s="14">
        <f ca="1"/>
        <v>-214508.74529680889</v>
      </c>
      <c r="DE45" s="14">
        <f ca="1"/>
        <v>-214508.74529680889</v>
      </c>
      <c r="DF45" s="14">
        <f ca="1"/>
        <v>-214508.74529680889</v>
      </c>
      <c r="DG45" s="14">
        <f ca="1"/>
        <v>-214508.74529680889</v>
      </c>
      <c r="DH45" s="14">
        <f ca="1"/>
        <v>-214508.74529680889</v>
      </c>
      <c r="DI45" s="14">
        <f ca="1"/>
        <v>-214508.74529680889</v>
      </c>
      <c r="DJ45" s="14">
        <f ca="1"/>
        <v>-214508.74529680889</v>
      </c>
      <c r="DK45" s="14">
        <f ca="1"/>
        <v>-214508.74529680889</v>
      </c>
      <c r="DL45" s="14">
        <f ca="1"/>
        <v>-214508.74529680889</v>
      </c>
      <c r="DM45" s="14">
        <f ca="1"/>
        <v>-214508.74529680889</v>
      </c>
      <c r="DN45" s="14">
        <f ca="1"/>
        <v>-214508.74529680889</v>
      </c>
      <c r="DO45" s="14">
        <f ca="1"/>
        <v>-214508.74529680889</v>
      </c>
      <c r="DP45" s="14">
        <f ca="1"/>
        <v>-214508.74529680889</v>
      </c>
      <c r="DQ45" s="14">
        <f ca="1"/>
        <v>-214508.74529680889</v>
      </c>
      <c r="DR45" s="14">
        <f ca="1"/>
        <v>-214508.74529680889</v>
      </c>
      <c r="DS45" s="14">
        <f ca="1"/>
        <v>-214508.74529680889</v>
      </c>
    </row>
    <row r="46" spans="2:123" x14ac:dyDescent="0.4">
      <c r="B46" s="5" t="s">
        <v>109</v>
      </c>
      <c r="C46" s="3" t="e" cm="1">
        <f t="array" ref="C46:DS46">_xlfn.MAP(MONTH_INDEX,_xlfn.LAMBDA(_xlpm.m,IF(OR(PROJECT_TYPE&lt;&gt;4,_xlpm.m=0),NA(),(INDEX(GROSS_RENT_REVENUE,1,_xlpm.m+1)-INDEX(OPERATING_EXPENSES,1,_xlpm.m+1))/(INDEX(MORTGAGE_INTEREST_PMT,1,_xlpm.m+1)+INDEX(MORTGAGE_PRINCIPAL_PMT,1,_xlpm.m+1)+0.0000001))))</f>
        <v>#N/A</v>
      </c>
      <c r="D46" s="3" t="e">
        <v>#N/A</v>
      </c>
      <c r="E46" s="3" t="e">
        <v>#N/A</v>
      </c>
      <c r="F46" s="3" t="e">
        <v>#N/A</v>
      </c>
      <c r="G46" s="3" t="e">
        <v>#N/A</v>
      </c>
      <c r="H46" s="3" t="e">
        <v>#N/A</v>
      </c>
      <c r="I46" s="3" t="e">
        <v>#N/A</v>
      </c>
      <c r="J46" s="3" t="e">
        <v>#N/A</v>
      </c>
      <c r="K46" s="3" t="e">
        <v>#N/A</v>
      </c>
      <c r="L46" s="3" t="e">
        <v>#N/A</v>
      </c>
      <c r="M46" s="3" t="e">
        <v>#N/A</v>
      </c>
      <c r="N46" s="3" t="e">
        <v>#N/A</v>
      </c>
      <c r="O46" s="3" t="e">
        <v>#N/A</v>
      </c>
      <c r="P46" s="3" t="e">
        <v>#N/A</v>
      </c>
      <c r="Q46" s="3" t="e">
        <v>#N/A</v>
      </c>
      <c r="R46" s="3" t="e">
        <v>#N/A</v>
      </c>
      <c r="S46" s="3" t="e">
        <v>#N/A</v>
      </c>
      <c r="T46" s="3" t="e">
        <v>#N/A</v>
      </c>
      <c r="U46" s="3" t="e">
        <v>#N/A</v>
      </c>
      <c r="V46" s="3" t="e">
        <v>#N/A</v>
      </c>
      <c r="W46" s="3" t="e">
        <v>#N/A</v>
      </c>
      <c r="X46" s="3" t="e">
        <v>#N/A</v>
      </c>
      <c r="Y46" s="3" t="e">
        <v>#N/A</v>
      </c>
      <c r="Z46" s="3" t="e">
        <v>#N/A</v>
      </c>
      <c r="AA46" s="3" t="e">
        <v>#N/A</v>
      </c>
      <c r="AB46" s="3" t="e">
        <v>#N/A</v>
      </c>
      <c r="AC46" s="3" t="e">
        <v>#N/A</v>
      </c>
      <c r="AD46" s="3" t="e">
        <v>#N/A</v>
      </c>
      <c r="AE46" s="3" t="e">
        <v>#N/A</v>
      </c>
      <c r="AF46" s="3" t="e">
        <v>#N/A</v>
      </c>
      <c r="AG46" s="3" t="e">
        <v>#N/A</v>
      </c>
      <c r="AH46" s="3" t="e">
        <v>#N/A</v>
      </c>
      <c r="AI46" s="3" t="e">
        <v>#N/A</v>
      </c>
      <c r="AJ46" s="3" t="e">
        <v>#N/A</v>
      </c>
      <c r="AK46" s="3" t="e">
        <v>#N/A</v>
      </c>
      <c r="AL46" s="3" t="e">
        <v>#N/A</v>
      </c>
      <c r="AM46" s="3" t="e">
        <v>#N/A</v>
      </c>
      <c r="AN46" s="3" t="e">
        <v>#N/A</v>
      </c>
      <c r="AO46" s="3" t="e">
        <v>#N/A</v>
      </c>
      <c r="AP46" s="3" t="e">
        <v>#N/A</v>
      </c>
      <c r="AQ46" s="3" t="e">
        <v>#N/A</v>
      </c>
      <c r="AR46" s="3" t="e">
        <v>#N/A</v>
      </c>
      <c r="AS46" s="3" t="e">
        <v>#N/A</v>
      </c>
      <c r="AT46" s="3" t="e">
        <v>#N/A</v>
      </c>
      <c r="AU46" s="3" t="e">
        <v>#N/A</v>
      </c>
      <c r="AV46" s="3" t="e">
        <v>#N/A</v>
      </c>
      <c r="AW46" s="3" t="e">
        <v>#N/A</v>
      </c>
      <c r="AX46" s="3" t="e">
        <v>#N/A</v>
      </c>
      <c r="AY46" s="3" t="e">
        <v>#N/A</v>
      </c>
      <c r="AZ46" s="3" t="e">
        <v>#N/A</v>
      </c>
      <c r="BA46" s="3" t="e">
        <v>#N/A</v>
      </c>
      <c r="BB46" s="3" t="e">
        <v>#N/A</v>
      </c>
      <c r="BC46" s="3" t="e">
        <v>#N/A</v>
      </c>
      <c r="BD46" s="3" t="e">
        <v>#N/A</v>
      </c>
      <c r="BE46" s="3" t="e">
        <v>#N/A</v>
      </c>
      <c r="BF46" s="3" t="e">
        <v>#N/A</v>
      </c>
      <c r="BG46" s="3" t="e">
        <v>#N/A</v>
      </c>
      <c r="BH46" s="3" t="e">
        <v>#N/A</v>
      </c>
      <c r="BI46" s="3" t="e">
        <v>#N/A</v>
      </c>
      <c r="BJ46" s="3" t="e">
        <v>#N/A</v>
      </c>
      <c r="BK46" s="3" t="e">
        <v>#N/A</v>
      </c>
      <c r="BL46" s="3" t="e">
        <v>#N/A</v>
      </c>
      <c r="BM46" s="3" t="e">
        <v>#N/A</v>
      </c>
      <c r="BN46" s="3" t="e">
        <v>#N/A</v>
      </c>
      <c r="BO46" s="3" t="e">
        <v>#N/A</v>
      </c>
      <c r="BP46" s="3" t="e">
        <v>#N/A</v>
      </c>
      <c r="BQ46" s="3" t="e">
        <v>#N/A</v>
      </c>
      <c r="BR46" s="3" t="e">
        <v>#N/A</v>
      </c>
      <c r="BS46" s="3" t="e">
        <v>#N/A</v>
      </c>
      <c r="BT46" s="3" t="e">
        <v>#N/A</v>
      </c>
      <c r="BU46" s="3" t="e">
        <v>#N/A</v>
      </c>
      <c r="BV46" s="3" t="e">
        <v>#N/A</v>
      </c>
      <c r="BW46" s="3" t="e">
        <v>#N/A</v>
      </c>
      <c r="BX46" s="3" t="e">
        <v>#N/A</v>
      </c>
      <c r="BY46" s="3" t="e">
        <v>#N/A</v>
      </c>
      <c r="BZ46" s="3" t="e">
        <v>#N/A</v>
      </c>
      <c r="CA46" s="3" t="e">
        <v>#N/A</v>
      </c>
      <c r="CB46" s="3" t="e">
        <v>#N/A</v>
      </c>
      <c r="CC46" s="3" t="e">
        <v>#N/A</v>
      </c>
      <c r="CD46" s="3" t="e">
        <v>#N/A</v>
      </c>
      <c r="CE46" s="3" t="e">
        <v>#N/A</v>
      </c>
      <c r="CF46" s="3" t="e">
        <v>#N/A</v>
      </c>
      <c r="CG46" s="3" t="e">
        <v>#N/A</v>
      </c>
      <c r="CH46" s="3" t="e">
        <v>#N/A</v>
      </c>
      <c r="CI46" s="3" t="e">
        <v>#N/A</v>
      </c>
      <c r="CJ46" s="3" t="e">
        <v>#N/A</v>
      </c>
      <c r="CK46" s="3" t="e">
        <v>#N/A</v>
      </c>
      <c r="CL46" s="3" t="e">
        <v>#N/A</v>
      </c>
      <c r="CM46" s="3" t="e">
        <v>#N/A</v>
      </c>
      <c r="CN46" s="3" t="e">
        <v>#N/A</v>
      </c>
      <c r="CO46" s="3" t="e">
        <v>#N/A</v>
      </c>
      <c r="CP46" s="3" t="e">
        <v>#N/A</v>
      </c>
      <c r="CQ46" s="3" t="e">
        <v>#N/A</v>
      </c>
      <c r="CR46" s="3" t="e">
        <v>#N/A</v>
      </c>
      <c r="CS46" s="3" t="e">
        <v>#N/A</v>
      </c>
      <c r="CT46" s="3" t="e">
        <v>#N/A</v>
      </c>
      <c r="CU46" s="3" t="e">
        <v>#N/A</v>
      </c>
      <c r="CV46" s="3" t="e">
        <v>#N/A</v>
      </c>
      <c r="CW46" s="3" t="e">
        <v>#N/A</v>
      </c>
      <c r="CX46" s="3" t="e">
        <v>#N/A</v>
      </c>
      <c r="CY46" s="3" t="e">
        <v>#N/A</v>
      </c>
      <c r="CZ46" s="3" t="e">
        <v>#N/A</v>
      </c>
      <c r="DA46" s="3" t="e">
        <v>#N/A</v>
      </c>
      <c r="DB46" s="3" t="e">
        <v>#N/A</v>
      </c>
      <c r="DC46" s="3" t="e">
        <v>#N/A</v>
      </c>
      <c r="DD46" s="3" t="e">
        <v>#N/A</v>
      </c>
      <c r="DE46" s="3" t="e">
        <v>#N/A</v>
      </c>
      <c r="DF46" s="3" t="e">
        <v>#N/A</v>
      </c>
      <c r="DG46" s="3" t="e">
        <v>#N/A</v>
      </c>
      <c r="DH46" s="3" t="e">
        <v>#N/A</v>
      </c>
      <c r="DI46" s="3" t="e">
        <v>#N/A</v>
      </c>
      <c r="DJ46" s="3" t="e">
        <v>#N/A</v>
      </c>
      <c r="DK46" s="3" t="e">
        <v>#N/A</v>
      </c>
      <c r="DL46" s="3" t="e">
        <v>#N/A</v>
      </c>
      <c r="DM46" s="3" t="e">
        <v>#N/A</v>
      </c>
      <c r="DN46" s="3" t="e">
        <v>#N/A</v>
      </c>
      <c r="DO46" s="3" t="e">
        <v>#N/A</v>
      </c>
      <c r="DP46" s="3" t="e">
        <v>#N/A</v>
      </c>
      <c r="DQ46" s="3" t="e">
        <v>#N/A</v>
      </c>
      <c r="DR46" s="3" t="e">
        <v>#N/A</v>
      </c>
      <c r="DS46" s="3" t="e">
        <v>#N/A</v>
      </c>
    </row>
  </sheetData>
  <mergeCells count="10">
    <mergeCell ref="B21:G21"/>
    <mergeCell ref="B25:G25"/>
    <mergeCell ref="B32:G32"/>
    <mergeCell ref="B35:G35"/>
    <mergeCell ref="B42:G42"/>
    <mergeCell ref="B2:G2"/>
    <mergeCell ref="B3:G3"/>
    <mergeCell ref="B5:G5"/>
    <mergeCell ref="B9:G9"/>
    <mergeCell ref="B15:G1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251FF"/>
  </sheetPr>
  <dimension ref="B1:O28"/>
  <sheetViews>
    <sheetView showGridLines="0" tabSelected="1" workbookViewId="0">
      <selection activeCell="A28" sqref="A28:XFD39"/>
    </sheetView>
  </sheetViews>
  <sheetFormatPr defaultRowHeight="13.9" x14ac:dyDescent="0.4"/>
  <cols>
    <col min="1" max="1" width="2.73046875" customWidth="1"/>
    <col min="2" max="15" width="12.73046875" customWidth="1"/>
  </cols>
  <sheetData>
    <row r="1" spans="2:15" ht="23.25" x14ac:dyDescent="0.7"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2:15" x14ac:dyDescent="0.4">
      <c r="B2" s="20" t="s">
        <v>110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4" spans="2:15" x14ac:dyDescent="0.4">
      <c r="B4" s="21" t="s">
        <v>111</v>
      </c>
      <c r="C4" s="21"/>
      <c r="E4" s="21" t="s">
        <v>112</v>
      </c>
      <c r="F4" s="21"/>
      <c r="H4" s="21" t="s">
        <v>113</v>
      </c>
      <c r="I4" s="21"/>
      <c r="K4" s="21" t="s">
        <v>114</v>
      </c>
      <c r="L4" s="21"/>
      <c r="N4" s="21" t="s">
        <v>115</v>
      </c>
      <c r="O4" s="21"/>
    </row>
    <row r="5" spans="2:15" s="15" customFormat="1" x14ac:dyDescent="0.4">
      <c r="B5" s="22">
        <f ca="1">XIRR(NET_CASH_FLOW_UNLEVERED,CALENDAR_DATE)</f>
        <v>2.6807382702827457E-2</v>
      </c>
      <c r="C5" s="23"/>
      <c r="E5" s="22">
        <f ca="1">XIRR(NET_CASH_FLOW_LEVERED,CALENDAR_DATE)</f>
        <v>-1.3886323571205138E-2</v>
      </c>
      <c r="F5" s="23"/>
      <c r="H5" s="24">
        <f ca="1">SUMIF(NET_CASH_FLOW_LEVERED,"&gt;0",NET_CASH_FLOW_LEVERED)/-SUMIF(NET_CASH_FLOW_LEVERED,"&lt;0",NET_CASH_FLOW_LEVERED)</f>
        <v>0.97101609052064131</v>
      </c>
      <c r="I5" s="23"/>
      <c r="K5" s="25">
        <f ca="1">ABS(MIN(CUMULATIVE_CASH_FLOW_LEVERED))</f>
        <v>7400959.6755597992</v>
      </c>
      <c r="L5" s="23"/>
      <c r="N5" s="25" t="str">
        <f>IFERROR(AVERAGE(DSCR),"N/A")</f>
        <v>N/A</v>
      </c>
      <c r="O5" s="23"/>
    </row>
    <row r="6" spans="2:15" s="15" customFormat="1" x14ac:dyDescent="0.4">
      <c r="B6" s="23"/>
      <c r="C6" s="23"/>
      <c r="E6" s="23"/>
      <c r="F6" s="23"/>
      <c r="H6" s="23"/>
      <c r="I6" s="23"/>
      <c r="K6" s="23"/>
      <c r="L6" s="23"/>
      <c r="N6" s="23"/>
      <c r="O6" s="23"/>
    </row>
    <row r="9" spans="2:15" ht="15.4" x14ac:dyDescent="0.4">
      <c r="B9" s="27" t="s">
        <v>116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</row>
    <row r="27" spans="2:13" ht="14.25" thickBot="1" x14ac:dyDescent="0.45"/>
    <row r="28" spans="2:13" ht="14.25" thickBot="1" x14ac:dyDescent="0.45"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</row>
  </sheetData>
  <mergeCells count="14">
    <mergeCell ref="B28:M28"/>
    <mergeCell ref="N4:O4"/>
    <mergeCell ref="N5:O6"/>
    <mergeCell ref="B9:M9"/>
    <mergeCell ref="B1:M1"/>
    <mergeCell ref="B2:M2"/>
    <mergeCell ref="B4:C4"/>
    <mergeCell ref="B5:C6"/>
    <mergeCell ref="E4:F4"/>
    <mergeCell ref="E5:F6"/>
    <mergeCell ref="H4:I4"/>
    <mergeCell ref="H5:I6"/>
    <mergeCell ref="K4:L4"/>
    <mergeCell ref="K5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60</vt:i4>
      </vt:variant>
    </vt:vector>
  </HeadingPairs>
  <TitlesOfParts>
    <vt:vector size="64" baseType="lpstr">
      <vt:lpstr>01_Setup_Scenarios</vt:lpstr>
      <vt:lpstr>02_Assumptions</vt:lpstr>
      <vt:lpstr>03_Calculation_Engine</vt:lpstr>
      <vt:lpstr>04_Summary_Dashboard</vt:lpstr>
      <vt:lpstr>ACQUISITION_COST</vt:lpstr>
      <vt:lpstr>ACQUISITION_OUTFLOW</vt:lpstr>
      <vt:lpstr>ACQUISITION_TAX_RATE</vt:lpstr>
      <vt:lpstr>ACTIVE_SCENARIO</vt:lpstr>
      <vt:lpstr>CALENDAR_DATE</vt:lpstr>
      <vt:lpstr>CAPEX_DISTRIBUTION_CURVE</vt:lpstr>
      <vt:lpstr>CAPEX_TOTAL_BUDGET</vt:lpstr>
      <vt:lpstr>CUMULATIVE_CASH_FLOW_LEVERED</vt:lpstr>
      <vt:lpstr>DEBT_AMORTIZATION_TYPE</vt:lpstr>
      <vt:lpstr>DEBT_INTEREST_RATE</vt:lpstr>
      <vt:lpstr>DEBT_TENOR_MONTHS</vt:lpstr>
      <vt:lpstr>DSCR</vt:lpstr>
      <vt:lpstr>EQUITY_IRR</vt:lpstr>
      <vt:lpstr>EQUITY_MULTIPLE</vt:lpstr>
      <vt:lpstr>EXIT_CAP_RATE</vt:lpstr>
      <vt:lpstr>EXIT_VALUE_GROSS_M</vt:lpstr>
      <vt:lpstr>GROSS_CAPEX</vt:lpstr>
      <vt:lpstr>GROSS_MONTHLY_RENT_BASE</vt:lpstr>
      <vt:lpstr>GROSS_RENT_REVENUE</vt:lpstr>
      <vt:lpstr>GROSS_SALE_PRICE</vt:lpstr>
      <vt:lpstr>LTV_RATIO</vt:lpstr>
      <vt:lpstr>MONTH_INDEX</vt:lpstr>
      <vt:lpstr>MORTGAGE_BALANCE</vt:lpstr>
      <vt:lpstr>MORTGAGE_DRAWDOWN</vt:lpstr>
      <vt:lpstr>MORTGAGE_INTEREST_PMT</vt:lpstr>
      <vt:lpstr>MORTGAGE_PRINCIPAL_PMT</vt:lpstr>
      <vt:lpstr>NET_CAPEX_PAID</vt:lpstr>
      <vt:lpstr>NET_CASH_FLOW_LEVERED</vt:lpstr>
      <vt:lpstr>NET_CASH_FLOW_PRE_REVOLVING</vt:lpstr>
      <vt:lpstr>NET_CASH_FLOW_UNLEVERED</vt:lpstr>
      <vt:lpstr>OCCUPANCY_RATE</vt:lpstr>
      <vt:lpstr>OPERATING_EXPENSES</vt:lpstr>
      <vt:lpstr>PEAK_EQUITY_REQUIRED</vt:lpstr>
      <vt:lpstr>PROJECT_IRR</vt:lpstr>
      <vt:lpstr>PROJECT_START_DATE</vt:lpstr>
      <vt:lpstr>PROJECT_TYPE</vt:lpstr>
      <vt:lpstr>RENT_ANNUAL_INFLATION</vt:lpstr>
      <vt:lpstr>RENTAL_OPEX_PERCENT</vt:lpstr>
      <vt:lpstr>RETENTION_RATE</vt:lpstr>
      <vt:lpstr>RETENTION_RELEASE_MONTH</vt:lpstr>
      <vt:lpstr>RETENTION_RELEASED_M</vt:lpstr>
      <vt:lpstr>RETENTION_WITHHELD_M</vt:lpstr>
      <vt:lpstr>REVOLVING_BALANCE</vt:lpstr>
      <vt:lpstr>REVOLVING_DRAWDOWN</vt:lpstr>
      <vt:lpstr>REVOLVING_INTEREST_PMT</vt:lpstr>
      <vt:lpstr>REVOLVING_INTEREST_RATE</vt:lpstr>
      <vt:lpstr>REVOLVING_LIMIT</vt:lpstr>
      <vt:lpstr>REVOLVING_REPAYMENT</vt:lpstr>
      <vt:lpstr>SALE_PROCEEDS_NET</vt:lpstr>
      <vt:lpstr>SCEN_CAPEX_MULT</vt:lpstr>
      <vt:lpstr>SCEN_RATE_ADDER</vt:lpstr>
      <vt:lpstr>SCEN_RENT_MULT</vt:lpstr>
      <vt:lpstr>SCEN_SALE_MULT</vt:lpstr>
      <vt:lpstr>TARGET_EXIT_MONTH</vt:lpstr>
      <vt:lpstr>VAT_PAID_CAPEX_M</vt:lpstr>
      <vt:lpstr>VAT_PAYABLE_ON_SALE</vt:lpstr>
      <vt:lpstr>VAT_RATE_CAPEX</vt:lpstr>
      <vt:lpstr>VAT_RATE_SALES</vt:lpstr>
      <vt:lpstr>VAT_REFUND_LAG</vt:lpstr>
      <vt:lpstr>VAT_REFUNDS_RECEIVED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Real Estate Operations Financial Model</dc:title>
  <dc:subject>Parametric Deal Decision Engine</dc:subject>
  <dc:creator>HyVoid</dc:creator>
  <dc:description>Generated via XlsxWriter. No VBA (project mandate). Gap-fill fields flagged inline -- see cell comments.</dc:description>
  <cp:lastModifiedBy>Hong Alex</cp:lastModifiedBy>
  <dcterms:created xsi:type="dcterms:W3CDTF">2026-07-10T04:01:49Z</dcterms:created>
  <dcterms:modified xsi:type="dcterms:W3CDTF">2026-07-17T01:57:26Z</dcterms:modified>
</cp:coreProperties>
</file>