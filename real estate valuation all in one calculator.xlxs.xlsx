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ongy\Downloads\"/>
    </mc:Choice>
  </mc:AlternateContent>
  <xr:revisionPtr revIDLastSave="0" documentId="13_ncr:1_{D3100A5D-CDE8-466F-BB49-A9C3D88B13C9}" xr6:coauthVersionLast="47" xr6:coauthVersionMax="47" xr10:uidLastSave="{00000000-0000-0000-0000-000000000000}"/>
  <bookViews>
    <workbookView xWindow="43080" yWindow="-120" windowWidth="29040" windowHeight="15720" activeTab="4" xr2:uid="{00000000-000D-0000-FFFF-FFFF00000000}"/>
  </bookViews>
  <sheets>
    <sheet name="START_HERE" sheetId="1" r:id="rId1"/>
    <sheet name="01_Setup_Scenarios" sheetId="2" r:id="rId2"/>
    <sheet name="02_Assumptions" sheetId="3" r:id="rId3"/>
    <sheet name="03_Calculation_Engine" sheetId="4" r:id="rId4"/>
    <sheet name="04_Summary_Dashboard" sheetId="5" r:id="rId5"/>
  </sheets>
  <definedNames>
    <definedName name="ACQUISITION_COST">'02_Assumptions'!$D$9</definedName>
    <definedName name="ACQUISITION_TAX_RATE">'02_Assumptions'!$D$10</definedName>
    <definedName name="ACTIVE_SCENARIO">'01_Setup_Scenarios'!$D$22</definedName>
    <definedName name="ANNUAL_GROSS_RENT">'02_Assumptions'!$D$28</definedName>
    <definedName name="ANNUAL_RENT_INFLATION">'02_Assumptions'!$D$30</definedName>
    <definedName name="CALENDAR_DATE_RANGE">'03_Calculation_Engine'!$C$8:$DS$8</definedName>
    <definedName name="CAP_RATE_SCENARIO_ADJ">'01_Setup_Scenarios'!$D$29</definedName>
    <definedName name="CAPEX_DISTRIBUTION_CURVE">'02_Assumptions'!$E$18:$DT$18</definedName>
    <definedName name="CAPEX_SCENARIO_MULT">'01_Setup_Scenarios'!$D$27</definedName>
    <definedName name="CAPEX_TOTAL_BUDGET">'02_Assumptions'!$D$13</definedName>
    <definedName name="DEBT_AMORTIZATION_TYPE">'02_Assumptions'!$D$40</definedName>
    <definedName name="DEBT_INTEREST_RATE">'02_Assumptions'!$D$41</definedName>
    <definedName name="DEBT_TENOR_MONTHS">'02_Assumptions'!$D$42</definedName>
    <definedName name="EXIT_CAP_RATE">'02_Assumptions'!$D$25</definedName>
    <definedName name="LOAN_BALANCE_RANGE">'03_Calculation_Engine'!$C$28:$DS$28</definedName>
    <definedName name="LTV_RATIO">'02_Assumptions'!$D$39</definedName>
    <definedName name="NCF_RANGE">'03_Calculation_Engine'!$C$39:$DS$39</definedName>
    <definedName name="PROJECT_START_DATE">'02_Assumptions'!$D$8</definedName>
    <definedName name="PROJECT_TYPE">'01_Setup_Scenarios'!$D$9</definedName>
    <definedName name="RENTAL_INCOME_MULT">'01_Setup_Scenarios'!$D$30</definedName>
    <definedName name="RENTAL_OPEX_PERCENT">'02_Assumptions'!$D$29</definedName>
    <definedName name="RETENTION_RATE">'02_Assumptions'!$D$14</definedName>
    <definedName name="RETENTION_RELEASE_MONTH">'02_Assumptions'!$D$15</definedName>
    <definedName name="REVENUE_SCENARIO_MULT">'01_Setup_Scenarios'!$D$28</definedName>
    <definedName name="REVOLVING_INTEREST_RATE">'02_Assumptions'!$D$44</definedName>
    <definedName name="REVOLVING_LIMIT">'02_Assumptions'!$D$43</definedName>
    <definedName name="SALE_PRICE">'02_Assumptions'!$D$22</definedName>
    <definedName name="SCENARIO_MATRIX">'01_Setup_Scenarios'!$D$15:$F$18</definedName>
    <definedName name="STABILISED_OCCUPANCY">'02_Assumptions'!$D$31</definedName>
    <definedName name="TARGET_EXIT_MONTH">'02_Assumptions'!$D$24</definedName>
    <definedName name="VAT_RATE_CAPEX">'02_Assumptions'!$D$34</definedName>
    <definedName name="VAT_RATE_SALES">'02_Assumptions'!$D$35</definedName>
    <definedName name="VAT_REFUND_LAG">'02_Assumptions'!$D$36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S30" i="4" l="1"/>
  <c r="DS30" i="4" a="1"/>
  <c r="DR30" i="4" a="1"/>
  <c r="DR30" i="4" s="1"/>
  <c r="DQ30" i="4" a="1"/>
  <c r="DQ30" i="4" s="1"/>
  <c r="DP30" i="4" a="1"/>
  <c r="DP30" i="4" s="1"/>
  <c r="DO30" i="4"/>
  <c r="DO30" i="4" a="1"/>
  <c r="DN30" i="4" a="1"/>
  <c r="DN30" i="4" s="1"/>
  <c r="DM30" i="4" a="1"/>
  <c r="DM30" i="4" s="1"/>
  <c r="DL30" i="4" a="1"/>
  <c r="DL30" i="4" s="1"/>
  <c r="DK30" i="4"/>
  <c r="DK30" i="4" a="1"/>
  <c r="DJ30" i="4" a="1"/>
  <c r="DJ30" i="4" s="1"/>
  <c r="DI30" i="4" a="1"/>
  <c r="DI30" i="4" s="1"/>
  <c r="DH30" i="4"/>
  <c r="DH30" i="4" a="1"/>
  <c r="DG30" i="4"/>
  <c r="DG30" i="4" a="1"/>
  <c r="DF30" i="4" a="1"/>
  <c r="DF30" i="4" s="1"/>
  <c r="DE30" i="4" a="1"/>
  <c r="DE30" i="4" s="1"/>
  <c r="DD30" i="4" a="1"/>
  <c r="DD30" i="4" s="1"/>
  <c r="DC30" i="4"/>
  <c r="DC30" i="4" a="1"/>
  <c r="DB30" i="4" a="1"/>
  <c r="DB30" i="4" s="1"/>
  <c r="DA30" i="4" a="1"/>
  <c r="DA30" i="4" s="1"/>
  <c r="CZ30" i="4" a="1"/>
  <c r="CZ30" i="4" s="1"/>
  <c r="CY30" i="4"/>
  <c r="CY30" i="4" a="1"/>
  <c r="CX30" i="4" a="1"/>
  <c r="CX30" i="4" s="1"/>
  <c r="CW30" i="4" a="1"/>
  <c r="CW30" i="4" s="1"/>
  <c r="CV30" i="4" a="1"/>
  <c r="CV30" i="4" s="1"/>
  <c r="CU30" i="4"/>
  <c r="CU30" i="4" a="1"/>
  <c r="CT30" i="4" a="1"/>
  <c r="CT30" i="4" s="1"/>
  <c r="CS30" i="4" a="1"/>
  <c r="CS30" i="4" s="1"/>
  <c r="CR30" i="4"/>
  <c r="CR30" i="4" a="1"/>
  <c r="CQ30" i="4"/>
  <c r="CQ30" i="4" a="1"/>
  <c r="CP30" i="4" a="1"/>
  <c r="CP30" i="4" s="1"/>
  <c r="CO30" i="4" a="1"/>
  <c r="CO30" i="4" s="1"/>
  <c r="CN30" i="4" a="1"/>
  <c r="CN30" i="4" s="1"/>
  <c r="CM30" i="4"/>
  <c r="CM30" i="4" a="1"/>
  <c r="CL30" i="4" a="1"/>
  <c r="CL30" i="4" s="1"/>
  <c r="CK30" i="4" a="1"/>
  <c r="CK30" i="4" s="1"/>
  <c r="CJ30" i="4"/>
  <c r="CJ30" i="4" a="1"/>
  <c r="CI30" i="4"/>
  <c r="CI30" i="4" a="1"/>
  <c r="CH30" i="4" a="1"/>
  <c r="CH30" i="4" s="1"/>
  <c r="CG30" i="4" a="1"/>
  <c r="CG30" i="4" s="1"/>
  <c r="CF30" i="4" a="1"/>
  <c r="CF30" i="4" s="1"/>
  <c r="CE30" i="4"/>
  <c r="CE30" i="4" a="1"/>
  <c r="CD30" i="4" a="1"/>
  <c r="CD30" i="4" s="1"/>
  <c r="CC30" i="4" a="1"/>
  <c r="CC30" i="4" s="1"/>
  <c r="CB30" i="4" a="1"/>
  <c r="CB30" i="4" s="1"/>
  <c r="CA30" i="4"/>
  <c r="CA30" i="4" a="1"/>
  <c r="BZ30" i="4" a="1"/>
  <c r="BZ30" i="4" s="1"/>
  <c r="BY30" i="4" a="1"/>
  <c r="BY30" i="4" s="1"/>
  <c r="BX30" i="4" a="1"/>
  <c r="BX30" i="4" s="1"/>
  <c r="BW30" i="4"/>
  <c r="BW30" i="4" a="1"/>
  <c r="BV30" i="4" a="1"/>
  <c r="BV30" i="4" s="1"/>
  <c r="BU30" i="4" a="1"/>
  <c r="BU30" i="4" s="1"/>
  <c r="BT30" i="4"/>
  <c r="BT30" i="4" a="1"/>
  <c r="BS30" i="4"/>
  <c r="BS30" i="4" a="1"/>
  <c r="BR30" i="4" a="1"/>
  <c r="BR30" i="4" s="1"/>
  <c r="BQ30" i="4" a="1"/>
  <c r="BQ30" i="4" s="1"/>
  <c r="BP30" i="4" a="1"/>
  <c r="BP30" i="4" s="1"/>
  <c r="BO30" i="4"/>
  <c r="BO30" i="4" a="1"/>
  <c r="BN30" i="4" a="1"/>
  <c r="BN30" i="4" s="1"/>
  <c r="BM30" i="4" a="1"/>
  <c r="BM30" i="4" s="1"/>
  <c r="BL30" i="4" a="1"/>
  <c r="BL30" i="4" s="1"/>
  <c r="D30" i="4" a="1"/>
  <c r="D30" i="4" s="1"/>
  <c r="H18" i="4"/>
  <c r="H18" i="4" a="1"/>
  <c r="G18" i="4" a="1"/>
  <c r="G18" i="4" s="1"/>
  <c r="F18" i="4" a="1"/>
  <c r="F18" i="4" s="1"/>
  <c r="E18" i="4" a="1"/>
  <c r="E18" i="4" s="1"/>
  <c r="D18" i="4" a="1"/>
  <c r="D18" i="4" s="1"/>
  <c r="D30" i="2" a="1"/>
  <c r="D30" i="2" s="1"/>
  <c r="D29" i="2" a="1"/>
  <c r="D29" i="2" s="1"/>
  <c r="D28" i="2" a="1"/>
  <c r="D28" i="2" s="1"/>
  <c r="AM21" i="4" s="1"/>
  <c r="D27" i="2" a="1"/>
  <c r="D27" i="2" s="1"/>
  <c r="AA10" i="5"/>
  <c r="DS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V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U29" i="4"/>
  <c r="BT29" i="4"/>
  <c r="BS29" i="4"/>
  <c r="BR29" i="4"/>
  <c r="BQ29" i="4"/>
  <c r="BP29" i="4"/>
  <c r="BO29" i="4"/>
  <c r="BN29" i="4"/>
  <c r="BM29" i="4"/>
  <c r="BL29" i="4"/>
  <c r="DS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V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U28" i="4"/>
  <c r="BT28" i="4"/>
  <c r="BS28" i="4"/>
  <c r="BR28" i="4"/>
  <c r="BQ28" i="4"/>
  <c r="BP28" i="4"/>
  <c r="BO28" i="4"/>
  <c r="BN28" i="4"/>
  <c r="BM28" i="4"/>
  <c r="BL28" i="4"/>
  <c r="C28" i="4"/>
  <c r="C27" i="4"/>
  <c r="C39" i="4" s="1"/>
  <c r="DS22" i="4"/>
  <c r="DS23" i="4" s="1"/>
  <c r="DR22" i="4"/>
  <c r="DR23" i="4" s="1"/>
  <c r="DQ22" i="4"/>
  <c r="DQ23" i="4" s="1"/>
  <c r="DP22" i="4"/>
  <c r="DP23" i="4" s="1"/>
  <c r="DO22" i="4"/>
  <c r="DO23" i="4" s="1"/>
  <c r="DN22" i="4"/>
  <c r="DN23" i="4" s="1"/>
  <c r="DM22" i="4"/>
  <c r="DM23" i="4" s="1"/>
  <c r="DL22" i="4"/>
  <c r="DL23" i="4" s="1"/>
  <c r="DK22" i="4"/>
  <c r="DK23" i="4" s="1"/>
  <c r="DJ22" i="4"/>
  <c r="DJ23" i="4" s="1"/>
  <c r="DI22" i="4"/>
  <c r="DI23" i="4" s="1"/>
  <c r="DH22" i="4"/>
  <c r="DG22" i="4"/>
  <c r="DG23" i="4" s="1"/>
  <c r="DF22" i="4"/>
  <c r="DE22" i="4"/>
  <c r="DE23" i="4" s="1"/>
  <c r="DD22" i="4"/>
  <c r="DD23" i="4" s="1"/>
  <c r="DC22" i="4"/>
  <c r="DC23" i="4" s="1"/>
  <c r="DB22" i="4"/>
  <c r="DB23" i="4" s="1"/>
  <c r="DA22" i="4"/>
  <c r="DA23" i="4" s="1"/>
  <c r="CZ22" i="4"/>
  <c r="CZ23" i="4" s="1"/>
  <c r="CY22" i="4"/>
  <c r="CY23" i="4" s="1"/>
  <c r="CX22" i="4"/>
  <c r="CX23" i="4" s="1"/>
  <c r="CW22" i="4"/>
  <c r="CW23" i="4" s="1"/>
  <c r="CV22" i="4"/>
  <c r="CV23" i="4" s="1"/>
  <c r="CU22" i="4"/>
  <c r="CU23" i="4" s="1"/>
  <c r="CT22" i="4"/>
  <c r="CT23" i="4" s="1"/>
  <c r="CS22" i="4"/>
  <c r="CS23" i="4" s="1"/>
  <c r="CR22" i="4"/>
  <c r="CQ22" i="4"/>
  <c r="CQ23" i="4" s="1"/>
  <c r="CP22" i="4"/>
  <c r="CO22" i="4"/>
  <c r="CO23" i="4" s="1"/>
  <c r="CN22" i="4"/>
  <c r="CN23" i="4" s="1"/>
  <c r="CM22" i="4"/>
  <c r="CM23" i="4" s="1"/>
  <c r="CL22" i="4"/>
  <c r="CL23" i="4" s="1"/>
  <c r="CK22" i="4"/>
  <c r="CK23" i="4" s="1"/>
  <c r="CJ22" i="4"/>
  <c r="CJ23" i="4" s="1"/>
  <c r="CI22" i="4"/>
  <c r="CI23" i="4" s="1"/>
  <c r="CH22" i="4"/>
  <c r="CH23" i="4" s="1"/>
  <c r="CG22" i="4"/>
  <c r="CG23" i="4" s="1"/>
  <c r="CF22" i="4"/>
  <c r="CF23" i="4" s="1"/>
  <c r="CE22" i="4"/>
  <c r="CE23" i="4" s="1"/>
  <c r="CD22" i="4"/>
  <c r="CD23" i="4" s="1"/>
  <c r="CC22" i="4"/>
  <c r="CC23" i="4" s="1"/>
  <c r="CB22" i="4"/>
  <c r="CA22" i="4"/>
  <c r="CA23" i="4" s="1"/>
  <c r="BZ22" i="4"/>
  <c r="BY22" i="4"/>
  <c r="BY23" i="4" s="1"/>
  <c r="BX22" i="4"/>
  <c r="BX23" i="4" s="1"/>
  <c r="BW22" i="4"/>
  <c r="BW23" i="4" s="1"/>
  <c r="BV22" i="4"/>
  <c r="BV23" i="4" s="1"/>
  <c r="BU22" i="4"/>
  <c r="BU23" i="4" s="1"/>
  <c r="BT22" i="4"/>
  <c r="BT23" i="4" s="1"/>
  <c r="BS22" i="4"/>
  <c r="BS23" i="4" s="1"/>
  <c r="BR22" i="4"/>
  <c r="BR23" i="4" s="1"/>
  <c r="BQ22" i="4"/>
  <c r="BQ23" i="4" s="1"/>
  <c r="BP22" i="4"/>
  <c r="BP23" i="4" s="1"/>
  <c r="BO22" i="4"/>
  <c r="BO23" i="4" s="1"/>
  <c r="BN22" i="4"/>
  <c r="BN23" i="4" s="1"/>
  <c r="BM22" i="4"/>
  <c r="BM23" i="4" s="1"/>
  <c r="BL22" i="4"/>
  <c r="BK22" i="4"/>
  <c r="BK23" i="4" s="1"/>
  <c r="BJ22" i="4"/>
  <c r="BI22" i="4"/>
  <c r="BI23" i="4" s="1"/>
  <c r="BH22" i="4"/>
  <c r="BH23" i="4" s="1"/>
  <c r="BG22" i="4"/>
  <c r="BG23" i="4" s="1"/>
  <c r="BF22" i="4"/>
  <c r="BF23" i="4" s="1"/>
  <c r="BE22" i="4"/>
  <c r="BE23" i="4" s="1"/>
  <c r="BD22" i="4"/>
  <c r="BD23" i="4" s="1"/>
  <c r="BC22" i="4"/>
  <c r="BC23" i="4" s="1"/>
  <c r="BB22" i="4"/>
  <c r="BB23" i="4" s="1"/>
  <c r="BA22" i="4"/>
  <c r="BA23" i="4" s="1"/>
  <c r="AZ22" i="4"/>
  <c r="AZ23" i="4" s="1"/>
  <c r="AY22" i="4"/>
  <c r="AY23" i="4" s="1"/>
  <c r="AX22" i="4"/>
  <c r="AX23" i="4" s="1"/>
  <c r="AW22" i="4"/>
  <c r="AW23" i="4" s="1"/>
  <c r="AV22" i="4"/>
  <c r="AU22" i="4"/>
  <c r="AU23" i="4" s="1"/>
  <c r="AT22" i="4"/>
  <c r="AS22" i="4"/>
  <c r="AS23" i="4" s="1"/>
  <c r="AR22" i="4"/>
  <c r="AR23" i="4" s="1"/>
  <c r="AQ22" i="4"/>
  <c r="AQ23" i="4" s="1"/>
  <c r="AP22" i="4"/>
  <c r="AP23" i="4" s="1"/>
  <c r="AO22" i="4"/>
  <c r="AO23" i="4" s="1"/>
  <c r="AN22" i="4"/>
  <c r="AN23" i="4" s="1"/>
  <c r="AM22" i="4"/>
  <c r="AM23" i="4" s="1"/>
  <c r="C22" i="4"/>
  <c r="C23" i="4" s="1"/>
  <c r="DS21" i="4"/>
  <c r="DR21" i="4"/>
  <c r="DQ21" i="4"/>
  <c r="DP21" i="4"/>
  <c r="DO21" i="4"/>
  <c r="DN21" i="4"/>
  <c r="DM21" i="4"/>
  <c r="DL21" i="4"/>
  <c r="DK21" i="4"/>
  <c r="DJ21" i="4"/>
  <c r="DI21" i="4"/>
  <c r="DH21" i="4"/>
  <c r="DG21" i="4"/>
  <c r="DG24" i="4" s="1"/>
  <c r="DF21" i="4"/>
  <c r="DE21" i="4"/>
  <c r="DD21" i="4"/>
  <c r="DC21" i="4"/>
  <c r="DB21" i="4"/>
  <c r="DA21" i="4"/>
  <c r="CZ21" i="4"/>
  <c r="CY21" i="4"/>
  <c r="CX21" i="4"/>
  <c r="CW21" i="4"/>
  <c r="CV21" i="4"/>
  <c r="CU21" i="4"/>
  <c r="CT21" i="4"/>
  <c r="CS21" i="4"/>
  <c r="CR21" i="4"/>
  <c r="CQ21" i="4"/>
  <c r="CQ24" i="4" s="1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CA24" i="4" s="1"/>
  <c r="BZ21" i="4"/>
  <c r="BY21" i="4"/>
  <c r="BX21" i="4"/>
  <c r="BW21" i="4"/>
  <c r="BV21" i="4"/>
  <c r="BU21" i="4"/>
  <c r="BT21" i="4"/>
  <c r="BS21" i="4"/>
  <c r="BR21" i="4"/>
  <c r="BQ21" i="4"/>
  <c r="BP21" i="4"/>
  <c r="BO21" i="4"/>
  <c r="BN21" i="4"/>
  <c r="BM21" i="4"/>
  <c r="BL21" i="4"/>
  <c r="BK21" i="4"/>
  <c r="BK24" i="4" s="1"/>
  <c r="BJ21" i="4"/>
  <c r="BI21" i="4"/>
  <c r="BH21" i="4"/>
  <c r="BG21" i="4"/>
  <c r="BF21" i="4"/>
  <c r="BE21" i="4"/>
  <c r="BD21" i="4"/>
  <c r="BC21" i="4"/>
  <c r="BB21" i="4"/>
  <c r="BA21" i="4"/>
  <c r="AZ21" i="4"/>
  <c r="AY21" i="4"/>
  <c r="AX21" i="4"/>
  <c r="AW21" i="4"/>
  <c r="AV21" i="4"/>
  <c r="AU21" i="4"/>
  <c r="AU24" i="4" s="1"/>
  <c r="AT21" i="4"/>
  <c r="AS21" i="4"/>
  <c r="AR21" i="4"/>
  <c r="AQ21" i="4"/>
  <c r="AP21" i="4"/>
  <c r="AO21" i="4"/>
  <c r="AN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DS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V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U13" i="4"/>
  <c r="BT13" i="4"/>
  <c r="BS13" i="4"/>
  <c r="BR13" i="4"/>
  <c r="BQ13" i="4"/>
  <c r="BP13" i="4"/>
  <c r="BO13" i="4"/>
  <c r="BN13" i="4"/>
  <c r="BM13" i="4"/>
  <c r="BL13" i="4"/>
  <c r="BK13" i="4"/>
  <c r="BJ13" i="4"/>
  <c r="BI13" i="4"/>
  <c r="BH13" i="4"/>
  <c r="BG13" i="4"/>
  <c r="BF13" i="4"/>
  <c r="BE13" i="4"/>
  <c r="BD13" i="4"/>
  <c r="BC13" i="4"/>
  <c r="BB13" i="4"/>
  <c r="BA13" i="4"/>
  <c r="AZ13" i="4"/>
  <c r="AY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C12" i="4"/>
  <c r="DS8" i="4"/>
  <c r="DR8" i="4"/>
  <c r="DQ8" i="4"/>
  <c r="DP8" i="4"/>
  <c r="DO8" i="4"/>
  <c r="DN8" i="4"/>
  <c r="DM8" i="4"/>
  <c r="DL8" i="4"/>
  <c r="DK8" i="4"/>
  <c r="DJ8" i="4"/>
  <c r="DI8" i="4"/>
  <c r="DH8" i="4"/>
  <c r="DG8" i="4"/>
  <c r="DF8" i="4"/>
  <c r="DE8" i="4"/>
  <c r="DD8" i="4"/>
  <c r="DC8" i="4"/>
  <c r="DB8" i="4"/>
  <c r="DA8" i="4"/>
  <c r="CZ8" i="4"/>
  <c r="CY8" i="4"/>
  <c r="CX8" i="4"/>
  <c r="CW8" i="4"/>
  <c r="CV8" i="4"/>
  <c r="CU8" i="4"/>
  <c r="CT8" i="4"/>
  <c r="CS8" i="4"/>
  <c r="CR8" i="4"/>
  <c r="CQ8" i="4"/>
  <c r="CP8" i="4"/>
  <c r="CO8" i="4"/>
  <c r="CN8" i="4"/>
  <c r="CM8" i="4"/>
  <c r="CL8" i="4"/>
  <c r="CK8" i="4"/>
  <c r="CJ8" i="4"/>
  <c r="CI8" i="4"/>
  <c r="CH8" i="4"/>
  <c r="CG8" i="4"/>
  <c r="CF8" i="4"/>
  <c r="CE8" i="4"/>
  <c r="CD8" i="4"/>
  <c r="CC8" i="4"/>
  <c r="CB8" i="4"/>
  <c r="CA8" i="4"/>
  <c r="BZ8" i="4"/>
  <c r="BY8" i="4"/>
  <c r="BX8" i="4"/>
  <c r="BW8" i="4"/>
  <c r="BV8" i="4"/>
  <c r="BU8" i="4"/>
  <c r="BT8" i="4"/>
  <c r="BS8" i="4"/>
  <c r="BR8" i="4"/>
  <c r="BQ8" i="4"/>
  <c r="BP8" i="4"/>
  <c r="BO8" i="4"/>
  <c r="BN8" i="4"/>
  <c r="BM8" i="4"/>
  <c r="BL8" i="4"/>
  <c r="BK8" i="4"/>
  <c r="BJ8" i="4"/>
  <c r="BI8" i="4"/>
  <c r="BH8" i="4"/>
  <c r="BG8" i="4"/>
  <c r="BF8" i="4"/>
  <c r="BE8" i="4"/>
  <c r="BD8" i="4"/>
  <c r="BC8" i="4"/>
  <c r="BB8" i="4"/>
  <c r="BA8" i="4"/>
  <c r="AZ8" i="4"/>
  <c r="AY8" i="4"/>
  <c r="AX8" i="4"/>
  <c r="AW8" i="4"/>
  <c r="AV8" i="4"/>
  <c r="AU8" i="4"/>
  <c r="AT8" i="4"/>
  <c r="AS8" i="4"/>
  <c r="AR8" i="4"/>
  <c r="AQ8" i="4"/>
  <c r="AP8" i="4"/>
  <c r="AO8" i="4"/>
  <c r="AN8" i="4"/>
  <c r="AM8" i="4"/>
  <c r="AL8" i="4"/>
  <c r="AK8" i="4"/>
  <c r="AJ8" i="4"/>
  <c r="AI8" i="4"/>
  <c r="AH8" i="4"/>
  <c r="AG8" i="4"/>
  <c r="AF8" i="4"/>
  <c r="AE8" i="4"/>
  <c r="AD8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E40" i="3"/>
  <c r="D23" i="3"/>
  <c r="D16" i="3"/>
  <c r="D23" i="2"/>
  <c r="D10" i="2"/>
  <c r="AH22" i="4" l="1"/>
  <c r="AH23" i="4" s="1"/>
  <c r="R22" i="4"/>
  <c r="R23" i="4" s="1"/>
  <c r="AC22" i="4"/>
  <c r="AC23" i="4" s="1"/>
  <c r="H22" i="4"/>
  <c r="H23" i="4" s="1"/>
  <c r="AL22" i="4"/>
  <c r="AL23" i="4" s="1"/>
  <c r="E22" i="4"/>
  <c r="E23" i="4" s="1"/>
  <c r="T22" i="4"/>
  <c r="T23" i="4" s="1"/>
  <c r="AG22" i="4"/>
  <c r="AG23" i="4" s="1"/>
  <c r="Q22" i="4"/>
  <c r="Q23" i="4" s="1"/>
  <c r="AF22" i="4"/>
  <c r="P22" i="4"/>
  <c r="AE22" i="4"/>
  <c r="AE23" i="4" s="1"/>
  <c r="O22" i="4"/>
  <c r="O23" i="4" s="1"/>
  <c r="AD22" i="4"/>
  <c r="AD23" i="4" s="1"/>
  <c r="AD24" i="4" s="1"/>
  <c r="N22" i="4"/>
  <c r="N23" i="4" s="1"/>
  <c r="N24" i="4" s="1"/>
  <c r="M22" i="4"/>
  <c r="M23" i="4" s="1"/>
  <c r="V22" i="4"/>
  <c r="V23" i="4" s="1"/>
  <c r="U22" i="4"/>
  <c r="U23" i="4" s="1"/>
  <c r="D22" i="4"/>
  <c r="D23" i="4" s="1"/>
  <c r="G22" i="4"/>
  <c r="G23" i="4" s="1"/>
  <c r="AJ22" i="4"/>
  <c r="AJ23" i="4" s="1"/>
  <c r="AI22" i="4"/>
  <c r="AI23" i="4" s="1"/>
  <c r="W22" i="4"/>
  <c r="W23" i="4" s="1"/>
  <c r="AB22" i="4"/>
  <c r="AB23" i="4" s="1"/>
  <c r="L22" i="4"/>
  <c r="L23" i="4" s="1"/>
  <c r="AA22" i="4"/>
  <c r="AA23" i="4" s="1"/>
  <c r="K22" i="4"/>
  <c r="K23" i="4" s="1"/>
  <c r="Z22" i="4"/>
  <c r="Z23" i="4" s="1"/>
  <c r="J22" i="4"/>
  <c r="J23" i="4" s="1"/>
  <c r="Y22" i="4"/>
  <c r="Y23" i="4" s="1"/>
  <c r="I22" i="4"/>
  <c r="I23" i="4" s="1"/>
  <c r="X22" i="4"/>
  <c r="X23" i="4" s="1"/>
  <c r="F22" i="4"/>
  <c r="F23" i="4" s="1"/>
  <c r="AK22" i="4"/>
  <c r="AK23" i="4" s="1"/>
  <c r="S22" i="4"/>
  <c r="S23" i="4" s="1"/>
  <c r="AQ24" i="4"/>
  <c r="BG24" i="4"/>
  <c r="BW24" i="4"/>
  <c r="CM24" i="4"/>
  <c r="DC24" i="4"/>
  <c r="DS24" i="4"/>
  <c r="AS24" i="4"/>
  <c r="BI24" i="4"/>
  <c r="BY24" i="4"/>
  <c r="CO24" i="4"/>
  <c r="DE24" i="4"/>
  <c r="AM24" i="4"/>
  <c r="AP24" i="4"/>
  <c r="BF24" i="4"/>
  <c r="BV24" i="4"/>
  <c r="DB24" i="4"/>
  <c r="DR24" i="4"/>
  <c r="CL11" i="4" a="1"/>
  <c r="CL11" i="4" s="1"/>
  <c r="DS11" i="4" a="1"/>
  <c r="DS11" i="4" s="1"/>
  <c r="DK11" i="4" a="1"/>
  <c r="DK11" i="4" s="1"/>
  <c r="DC11" i="4" a="1"/>
  <c r="DC11" i="4" s="1"/>
  <c r="CU11" i="4" a="1"/>
  <c r="CU11" i="4" s="1"/>
  <c r="CM11" i="4" a="1"/>
  <c r="CM11" i="4" s="1"/>
  <c r="CE11" i="4" a="1"/>
  <c r="CE11" i="4" s="1"/>
  <c r="BW11" i="4" a="1"/>
  <c r="BW11" i="4" s="1"/>
  <c r="BO11" i="4" a="1"/>
  <c r="BO11" i="4" s="1"/>
  <c r="BG11" i="4" a="1"/>
  <c r="BG11" i="4" s="1"/>
  <c r="AY11" i="4" a="1"/>
  <c r="AY11" i="4" s="1"/>
  <c r="AQ11" i="4" a="1"/>
  <c r="AQ11" i="4" s="1"/>
  <c r="AI11" i="4" a="1"/>
  <c r="AI11" i="4" s="1"/>
  <c r="AA11" i="4" a="1"/>
  <c r="AA11" i="4" s="1"/>
  <c r="S11" i="4" a="1"/>
  <c r="S11" i="4" s="1"/>
  <c r="K11" i="4" a="1"/>
  <c r="K11" i="4" s="1"/>
  <c r="DR11" i="4" a="1"/>
  <c r="DR11" i="4" s="1"/>
  <c r="DB11" i="4" a="1"/>
  <c r="DB11" i="4" s="1"/>
  <c r="CT11" i="4" a="1"/>
  <c r="CT11" i="4" s="1"/>
  <c r="CD11" i="4" a="1"/>
  <c r="CD11" i="4" s="1"/>
  <c r="BN11" i="4" a="1"/>
  <c r="BN11" i="4" s="1"/>
  <c r="AX11" i="4" a="1"/>
  <c r="AX11" i="4" s="1"/>
  <c r="AH11" i="4" a="1"/>
  <c r="AH11" i="4" s="1"/>
  <c r="R11" i="4" a="1"/>
  <c r="R11" i="4" s="1"/>
  <c r="DJ11" i="4" a="1"/>
  <c r="DJ11" i="4" s="1"/>
  <c r="BV11" i="4" a="1"/>
  <c r="BV11" i="4" s="1"/>
  <c r="BF11" i="4" a="1"/>
  <c r="BF11" i="4" s="1"/>
  <c r="AP11" i="4" a="1"/>
  <c r="AP11" i="4" s="1"/>
  <c r="Z11" i="4" a="1"/>
  <c r="Z11" i="4" s="1"/>
  <c r="J11" i="4" a="1"/>
  <c r="J11" i="4" s="1"/>
  <c r="DO11" i="4" a="1"/>
  <c r="DO11" i="4" s="1"/>
  <c r="DG11" i="4" a="1"/>
  <c r="DG11" i="4" s="1"/>
  <c r="CY11" i="4" a="1"/>
  <c r="CY11" i="4" s="1"/>
  <c r="CQ11" i="4" a="1"/>
  <c r="CQ11" i="4" s="1"/>
  <c r="CI11" i="4" a="1"/>
  <c r="CI11" i="4" s="1"/>
  <c r="CA11" i="4" a="1"/>
  <c r="CA11" i="4" s="1"/>
  <c r="BS11" i="4" a="1"/>
  <c r="BS11" i="4" s="1"/>
  <c r="BK11" i="4" a="1"/>
  <c r="BK11" i="4" s="1"/>
  <c r="BC11" i="4" a="1"/>
  <c r="BC11" i="4" s="1"/>
  <c r="AU11" i="4" a="1"/>
  <c r="AU11" i="4" s="1"/>
  <c r="AM11" i="4" a="1"/>
  <c r="AM11" i="4" s="1"/>
  <c r="AE11" i="4" a="1"/>
  <c r="AE11" i="4" s="1"/>
  <c r="W11" i="4" a="1"/>
  <c r="W11" i="4" s="1"/>
  <c r="O11" i="4" a="1"/>
  <c r="O11" i="4" s="1"/>
  <c r="G11" i="4" a="1"/>
  <c r="G11" i="4" s="1"/>
  <c r="BT11" i="4" a="1"/>
  <c r="BT11" i="4" s="1"/>
  <c r="BE11" i="4" a="1"/>
  <c r="BE11" i="4" s="1"/>
  <c r="AR11" i="4" a="1"/>
  <c r="AR11" i="4" s="1"/>
  <c r="AD11" i="4" a="1"/>
  <c r="AD11" i="4" s="1"/>
  <c r="DM11" i="4" a="1"/>
  <c r="DM11" i="4" s="1"/>
  <c r="CG11" i="4" a="1"/>
  <c r="CG11" i="4" s="1"/>
  <c r="BD11" i="4" a="1"/>
  <c r="BD11" i="4" s="1"/>
  <c r="AB11" i="4" a="1"/>
  <c r="AB11" i="4" s="1"/>
  <c r="BY11" i="4" a="1"/>
  <c r="BY11" i="4" s="1"/>
  <c r="AG11" i="4" a="1"/>
  <c r="AG11" i="4" s="1"/>
  <c r="DA11" i="4" a="1"/>
  <c r="DA11" i="4" s="1"/>
  <c r="CZ11" i="4" a="1"/>
  <c r="CZ11" i="4" s="1"/>
  <c r="DN11" i="4" a="1"/>
  <c r="DN11" i="4" s="1"/>
  <c r="CX11" i="4" a="1"/>
  <c r="CX11" i="4" s="1"/>
  <c r="CH11" i="4" a="1"/>
  <c r="CH11" i="4" s="1"/>
  <c r="AC11" i="4" a="1"/>
  <c r="AC11" i="4" s="1"/>
  <c r="AC12" i="4" s="1"/>
  <c r="AC14" i="4" s="1"/>
  <c r="CW11" i="4" a="1"/>
  <c r="CW11" i="4" s="1"/>
  <c r="AO11" i="4" a="1"/>
  <c r="AO11" i="4" s="1"/>
  <c r="N11" i="4" a="1"/>
  <c r="N11" i="4" s="1"/>
  <c r="DQ11" i="4" a="1"/>
  <c r="DQ11" i="4" s="1"/>
  <c r="BU11" i="4" a="1"/>
  <c r="BU11" i="4" s="1"/>
  <c r="BI11" i="4" a="1"/>
  <c r="BI11" i="4" s="1"/>
  <c r="BH11" i="4" a="1"/>
  <c r="BH11" i="4" s="1"/>
  <c r="DL11" i="4" a="1"/>
  <c r="DL11" i="4" s="1"/>
  <c r="CV11" i="4" a="1"/>
  <c r="CV11" i="4" s="1"/>
  <c r="CF11" i="4" a="1"/>
  <c r="CF11" i="4" s="1"/>
  <c r="BR11" i="4" a="1"/>
  <c r="BR11" i="4" s="1"/>
  <c r="M11" i="4" a="1"/>
  <c r="M11" i="4" s="1"/>
  <c r="DE11" i="4" a="1"/>
  <c r="DE11" i="4" s="1"/>
  <c r="DD11" i="4" a="1"/>
  <c r="DD11" i="4" s="1"/>
  <c r="DD12" i="4" s="1"/>
  <c r="DD14" i="4" s="1"/>
  <c r="F11" i="4" a="1"/>
  <c r="F11" i="4" s="1"/>
  <c r="BX11" i="4" a="1"/>
  <c r="BX11" i="4" s="1"/>
  <c r="DP11" i="4" a="1"/>
  <c r="DP11" i="4" s="1"/>
  <c r="DI11" i="4" a="1"/>
  <c r="DI11" i="4" s="1"/>
  <c r="CS11" i="4" a="1"/>
  <c r="CS11" i="4" s="1"/>
  <c r="BQ11" i="4" a="1"/>
  <c r="BQ11" i="4" s="1"/>
  <c r="AN11" i="4" a="1"/>
  <c r="AN11" i="4" s="1"/>
  <c r="Y11" i="4" a="1"/>
  <c r="Y11" i="4" s="1"/>
  <c r="L11" i="4" a="1"/>
  <c r="L11" i="4" s="1"/>
  <c r="CO11" i="4" a="1"/>
  <c r="CO11" i="4" s="1"/>
  <c r="CO12" i="4" s="1"/>
  <c r="CO14" i="4" s="1"/>
  <c r="D11" i="4" a="1"/>
  <c r="D11" i="4" s="1"/>
  <c r="AT11" i="4" a="1"/>
  <c r="AT11" i="4" s="1"/>
  <c r="CC11" i="4" a="1"/>
  <c r="CC11" i="4" s="1"/>
  <c r="BP11" i="4" a="1"/>
  <c r="BP11" i="4" s="1"/>
  <c r="BB11" i="4" a="1"/>
  <c r="BB11" i="4" s="1"/>
  <c r="BZ11" i="4" a="1"/>
  <c r="BZ11" i="4" s="1"/>
  <c r="CN11" i="4" a="1"/>
  <c r="CN11" i="4" s="1"/>
  <c r="CK11" i="4" a="1"/>
  <c r="CK11" i="4" s="1"/>
  <c r="DH11" i="4" a="1"/>
  <c r="DH11" i="4" s="1"/>
  <c r="CR11" i="4" a="1"/>
  <c r="CR11" i="4" s="1"/>
  <c r="BA11" i="4" a="1"/>
  <c r="BA11" i="4" s="1"/>
  <c r="X11" i="4" a="1"/>
  <c r="X11" i="4" s="1"/>
  <c r="I11" i="4" a="1"/>
  <c r="I11" i="4" s="1"/>
  <c r="AV11" i="4" a="1"/>
  <c r="AV11" i="4" s="1"/>
  <c r="E11" i="4" a="1"/>
  <c r="E11" i="4" s="1"/>
  <c r="Q11" i="4" a="1"/>
  <c r="Q11" i="4" s="1"/>
  <c r="CJ11" i="4" a="1"/>
  <c r="CJ11" i="4" s="1"/>
  <c r="CB11" i="4" a="1"/>
  <c r="CB11" i="4" s="1"/>
  <c r="BM11" i="4" a="1"/>
  <c r="BM11" i="4" s="1"/>
  <c r="AZ11" i="4" a="1"/>
  <c r="AZ11" i="4" s="1"/>
  <c r="AL11" i="4" a="1"/>
  <c r="AL11" i="4" s="1"/>
  <c r="AK11" i="4" a="1"/>
  <c r="AK11" i="4" s="1"/>
  <c r="H11" i="4" a="1"/>
  <c r="H11" i="4" s="1"/>
  <c r="DF11" i="4" a="1"/>
  <c r="DF11" i="4" s="1"/>
  <c r="CP11" i="4" a="1"/>
  <c r="CP11" i="4" s="1"/>
  <c r="BL11" i="4" a="1"/>
  <c r="BL11" i="4" s="1"/>
  <c r="AW11" i="4" a="1"/>
  <c r="AW11" i="4" s="1"/>
  <c r="AJ11" i="4" a="1"/>
  <c r="AJ11" i="4" s="1"/>
  <c r="V11" i="4" a="1"/>
  <c r="V11" i="4" s="1"/>
  <c r="U11" i="4" a="1"/>
  <c r="U11" i="4" s="1"/>
  <c r="T11" i="4" a="1"/>
  <c r="T11" i="4" s="1"/>
  <c r="BJ11" i="4" a="1"/>
  <c r="BJ11" i="4" s="1"/>
  <c r="AF11" i="4" a="1"/>
  <c r="AF11" i="4" s="1"/>
  <c r="P11" i="4" a="1"/>
  <c r="P11" i="4" s="1"/>
  <c r="AS11" i="4" a="1"/>
  <c r="AS11" i="4" s="1"/>
  <c r="CL24" i="4"/>
  <c r="AW24" i="4"/>
  <c r="BM24" i="4"/>
  <c r="CC24" i="4"/>
  <c r="CS24" i="4"/>
  <c r="DI24" i="4"/>
  <c r="Q24" i="4"/>
  <c r="AG24" i="4"/>
  <c r="AY24" i="4"/>
  <c r="BO24" i="4"/>
  <c r="CE24" i="4"/>
  <c r="CU24" i="4"/>
  <c r="DK24" i="4"/>
  <c r="Z24" i="4"/>
  <c r="K24" i="4"/>
  <c r="G24" i="4"/>
  <c r="W24" i="4"/>
  <c r="C24" i="4"/>
  <c r="BA24" i="4"/>
  <c r="BQ24" i="4"/>
  <c r="CG24" i="4"/>
  <c r="CW24" i="4"/>
  <c r="DM24" i="4"/>
  <c r="L24" i="4"/>
  <c r="AB24" i="4"/>
  <c r="AR24" i="4"/>
  <c r="BH24" i="4"/>
  <c r="BX24" i="4"/>
  <c r="CN24" i="4"/>
  <c r="DD24" i="4"/>
  <c r="AI24" i="4"/>
  <c r="E24" i="4"/>
  <c r="U24" i="4"/>
  <c r="AK24" i="4"/>
  <c r="BB24" i="4"/>
  <c r="BR24" i="4"/>
  <c r="CH24" i="4"/>
  <c r="CX24" i="4"/>
  <c r="DN24" i="4"/>
  <c r="S24" i="4"/>
  <c r="V24" i="4"/>
  <c r="AL24" i="4"/>
  <c r="BC24" i="4"/>
  <c r="BS24" i="4"/>
  <c r="CI24" i="4"/>
  <c r="CY24" i="4"/>
  <c r="DO24" i="4"/>
  <c r="AO24" i="4"/>
  <c r="BE24" i="4"/>
  <c r="BU24" i="4"/>
  <c r="CK24" i="4"/>
  <c r="DA24" i="4"/>
  <c r="DQ24" i="4"/>
  <c r="C14" i="4"/>
  <c r="C17" i="4" s="1"/>
  <c r="I18" i="4" s="1" a="1"/>
  <c r="I18" i="4" s="1"/>
  <c r="R24" i="4"/>
  <c r="AH24" i="4"/>
  <c r="AX24" i="4"/>
  <c r="BN24" i="4"/>
  <c r="CD24" i="4"/>
  <c r="CT24" i="4"/>
  <c r="DJ24" i="4"/>
  <c r="CN12" i="4"/>
  <c r="CN14" i="4" s="1"/>
  <c r="AZ24" i="4"/>
  <c r="BP24" i="4"/>
  <c r="CF24" i="4"/>
  <c r="CV24" i="4"/>
  <c r="DL24" i="4"/>
  <c r="D24" i="4"/>
  <c r="T24" i="4"/>
  <c r="AJ24" i="4"/>
  <c r="AN24" i="4"/>
  <c r="BT24" i="4"/>
  <c r="CJ24" i="4"/>
  <c r="CZ24" i="4"/>
  <c r="DP24" i="4"/>
  <c r="H24" i="4"/>
  <c r="BD24" i="4"/>
  <c r="AT23" i="4"/>
  <c r="AT24" i="4" s="1"/>
  <c r="BJ23" i="4"/>
  <c r="BJ24" i="4" s="1"/>
  <c r="BZ23" i="4"/>
  <c r="BZ24" i="4" s="1"/>
  <c r="CP23" i="4"/>
  <c r="CP24" i="4" s="1"/>
  <c r="DF23" i="4"/>
  <c r="DF24" i="4" s="1"/>
  <c r="D29" i="4"/>
  <c r="D28" i="4" s="1"/>
  <c r="P23" i="4"/>
  <c r="P24" i="4" s="1"/>
  <c r="AF23" i="4"/>
  <c r="AF24" i="4" s="1"/>
  <c r="AV23" i="4"/>
  <c r="AV24" i="4" s="1"/>
  <c r="BL23" i="4"/>
  <c r="BL24" i="4" s="1"/>
  <c r="CB23" i="4"/>
  <c r="CB24" i="4" s="1"/>
  <c r="CR23" i="4"/>
  <c r="CR24" i="4" s="1"/>
  <c r="DH23" i="4"/>
  <c r="DH24" i="4" s="1"/>
  <c r="F24" i="4" l="1"/>
  <c r="O24" i="4"/>
  <c r="AA24" i="4"/>
  <c r="Y24" i="4"/>
  <c r="AE24" i="4"/>
  <c r="I24" i="4"/>
  <c r="X24" i="4"/>
  <c r="J24" i="4"/>
  <c r="AC24" i="4"/>
  <c r="M24" i="4"/>
  <c r="DE12" i="4"/>
  <c r="DE14" i="4" s="1"/>
  <c r="DE17" i="4" s="1"/>
  <c r="DK18" i="4" s="1" a="1"/>
  <c r="DK18" i="4" s="1"/>
  <c r="DD17" i="4"/>
  <c r="DJ18" i="4" s="1" a="1"/>
  <c r="DJ18" i="4" s="1"/>
  <c r="E29" i="4"/>
  <c r="CN17" i="4"/>
  <c r="CT18" i="4" s="1" a="1"/>
  <c r="CT18" i="4" s="1"/>
  <c r="AC17" i="4"/>
  <c r="AI18" i="4" s="1" a="1"/>
  <c r="AI18" i="4" s="1"/>
  <c r="CO17" i="4"/>
  <c r="CU18" i="4" s="1" a="1"/>
  <c r="CU18" i="4" s="1"/>
  <c r="BR12" i="4"/>
  <c r="BR14" i="4" s="1"/>
  <c r="DH12" i="4"/>
  <c r="DH14" i="4" s="1"/>
  <c r="Q12" i="4"/>
  <c r="Q14" i="4"/>
  <c r="AG12" i="4"/>
  <c r="AG14" i="4" s="1"/>
  <c r="DN12" i="4"/>
  <c r="DN14" i="4" s="1"/>
  <c r="BX12" i="4"/>
  <c r="BX14" i="4" s="1"/>
  <c r="BM12" i="4"/>
  <c r="BM14" i="4"/>
  <c r="AA12" i="4"/>
  <c r="CA12" i="4"/>
  <c r="CA14" i="4" s="1"/>
  <c r="BV12" i="4"/>
  <c r="BV14" i="4"/>
  <c r="CJ12" i="4"/>
  <c r="CJ14" i="4" s="1"/>
  <c r="AB12" i="4"/>
  <c r="AB14" i="4" s="1"/>
  <c r="DB12" i="4"/>
  <c r="DB14" i="4" s="1"/>
  <c r="DL12" i="4"/>
  <c r="DL14" i="4" s="1"/>
  <c r="O12" i="4"/>
  <c r="O14" i="4" s="1"/>
  <c r="I12" i="4"/>
  <c r="I14" i="4" s="1"/>
  <c r="U12" i="4"/>
  <c r="U14" i="4" s="1"/>
  <c r="AU12" i="4"/>
  <c r="AU14" i="4" s="1"/>
  <c r="AM12" i="4"/>
  <c r="AM14" i="4" s="1"/>
  <c r="AQ12" i="4"/>
  <c r="AQ14" i="4" s="1"/>
  <c r="BA12" i="4"/>
  <c r="BA14" i="4" s="1"/>
  <c r="BE12" i="4"/>
  <c r="BE14" i="4"/>
  <c r="BQ12" i="4"/>
  <c r="BQ14" i="4" s="1"/>
  <c r="BU12" i="4"/>
  <c r="BU14" i="4"/>
  <c r="BW12" i="4"/>
  <c r="BW14" i="4" s="1"/>
  <c r="CQ12" i="4"/>
  <c r="CQ14" i="4" s="1"/>
  <c r="R12" i="4"/>
  <c r="R14" i="4"/>
  <c r="AS12" i="4"/>
  <c r="AS14" i="4" s="1"/>
  <c r="AR12" i="4"/>
  <c r="AR14" i="4" s="1"/>
  <c r="CG12" i="4"/>
  <c r="CG14" i="4" s="1"/>
  <c r="CI12" i="4"/>
  <c r="CI14" i="4" s="1"/>
  <c r="CM12" i="4"/>
  <c r="CM14" i="4" s="1"/>
  <c r="DG12" i="4"/>
  <c r="DG14" i="4" s="1"/>
  <c r="AH12" i="4"/>
  <c r="AH14" i="4"/>
  <c r="BP12" i="4"/>
  <c r="BP14" i="4" s="1"/>
  <c r="BT12" i="4"/>
  <c r="BT14" i="4" s="1"/>
  <c r="CF12" i="4"/>
  <c r="CF14" i="4" s="1"/>
  <c r="CP12" i="4"/>
  <c r="CP14" i="4" s="1"/>
  <c r="CZ12" i="4"/>
  <c r="CZ14" i="4" s="1"/>
  <c r="DR12" i="4"/>
  <c r="DR14" i="4" s="1"/>
  <c r="G12" i="4"/>
  <c r="G14" i="4" s="1"/>
  <c r="CU12" i="4"/>
  <c r="CU14" i="4" s="1"/>
  <c r="Y12" i="4"/>
  <c r="Y14" i="4" s="1"/>
  <c r="CK12" i="4"/>
  <c r="CK14" i="4"/>
  <c r="L12" i="4"/>
  <c r="L14" i="4" s="1"/>
  <c r="CW12" i="4"/>
  <c r="CW14" i="4" s="1"/>
  <c r="CY12" i="4"/>
  <c r="CY14" i="4" s="1"/>
  <c r="DA12" i="4"/>
  <c r="DA14" i="4"/>
  <c r="DC12" i="4"/>
  <c r="DC14" i="4" s="1"/>
  <c r="P12" i="4"/>
  <c r="P14" i="4" s="1"/>
  <c r="AX12" i="4"/>
  <c r="AX14" i="4" s="1"/>
  <c r="CX12" i="4"/>
  <c r="CX14" i="4" s="1"/>
  <c r="BZ12" i="4"/>
  <c r="BZ14" i="4" s="1"/>
  <c r="AY12" i="4"/>
  <c r="AY14" i="4" s="1"/>
  <c r="BO12" i="4"/>
  <c r="BO14" i="4" s="1"/>
  <c r="CE12" i="4"/>
  <c r="CE14" i="4" s="1"/>
  <c r="AE12" i="4"/>
  <c r="AE14" i="4" s="1"/>
  <c r="DK12" i="4"/>
  <c r="DK14" i="4" s="1"/>
  <c r="AK12" i="4"/>
  <c r="AK14" i="4" s="1"/>
  <c r="CS12" i="4"/>
  <c r="CS14" i="4" s="1"/>
  <c r="DI12" i="4"/>
  <c r="DI14" i="4"/>
  <c r="BH12" i="4"/>
  <c r="BH14" i="4" s="1"/>
  <c r="DS12" i="4"/>
  <c r="DS14" i="4" s="1"/>
  <c r="AV12" i="4"/>
  <c r="AV14" i="4" s="1"/>
  <c r="CH12" i="4"/>
  <c r="CH14" i="4" s="1"/>
  <c r="CL12" i="4"/>
  <c r="CL14" i="4" s="1"/>
  <c r="CV12" i="4"/>
  <c r="CV14" i="4" s="1"/>
  <c r="DF12" i="4"/>
  <c r="DF14" i="4" s="1"/>
  <c r="DP12" i="4"/>
  <c r="DP14" i="4" s="1"/>
  <c r="AW12" i="4"/>
  <c r="AW14" i="4"/>
  <c r="E12" i="4"/>
  <c r="E14" i="4" s="1"/>
  <c r="K12" i="4"/>
  <c r="K14" i="4" s="1"/>
  <c r="W12" i="4"/>
  <c r="W14" i="4" s="1"/>
  <c r="CC12" i="4"/>
  <c r="CC14" i="4" s="1"/>
  <c r="BI12" i="4"/>
  <c r="BI14" i="4" s="1"/>
  <c r="AO12" i="4"/>
  <c r="AO14" i="4"/>
  <c r="BK12" i="4"/>
  <c r="BK14" i="4" s="1"/>
  <c r="BC12" i="4"/>
  <c r="BC14" i="4" s="1"/>
  <c r="BG12" i="4"/>
  <c r="BG14" i="4" s="1"/>
  <c r="BY12" i="4"/>
  <c r="BY14" i="4" s="1"/>
  <c r="BS12" i="4"/>
  <c r="BS14" i="4" s="1"/>
  <c r="DM12" i="4"/>
  <c r="DM14" i="4" s="1"/>
  <c r="DO12" i="4"/>
  <c r="DO14" i="4" s="1"/>
  <c r="DQ12" i="4"/>
  <c r="DQ14" i="4" s="1"/>
  <c r="AF12" i="4"/>
  <c r="AF14" i="4" s="1"/>
  <c r="BN12" i="4"/>
  <c r="BN14" i="4" s="1"/>
  <c r="M12" i="4"/>
  <c r="M14" i="4" s="1"/>
  <c r="D12" i="4"/>
  <c r="D14" i="4" s="1"/>
  <c r="D17" i="4" s="1"/>
  <c r="J18" i="4" s="1" a="1"/>
  <c r="J18" i="4" s="1"/>
  <c r="F12" i="4"/>
  <c r="F14" i="4" s="1"/>
  <c r="H12" i="4"/>
  <c r="H14" i="4" s="1"/>
  <c r="J12" i="4"/>
  <c r="J14" i="4"/>
  <c r="N12" i="4"/>
  <c r="N14" i="4" s="1"/>
  <c r="CD12" i="4"/>
  <c r="CD14" i="4" s="1"/>
  <c r="T12" i="4"/>
  <c r="T14" i="4" s="1"/>
  <c r="V12" i="4"/>
  <c r="V14" i="4" s="1"/>
  <c r="X12" i="4"/>
  <c r="X14" i="4" s="1"/>
  <c r="X17" i="4" s="1"/>
  <c r="AD18" i="4" s="1" a="1"/>
  <c r="AD18" i="4" s="1"/>
  <c r="Z12" i="4"/>
  <c r="Z14" i="4" s="1"/>
  <c r="AD12" i="4"/>
  <c r="AD14" i="4" s="1"/>
  <c r="BL12" i="4"/>
  <c r="BL14" i="4" s="1"/>
  <c r="CT12" i="4"/>
  <c r="CT14" i="4" s="1"/>
  <c r="AJ12" i="4"/>
  <c r="AJ14" i="4" s="1"/>
  <c r="AL12" i="4"/>
  <c r="AL14" i="4" s="1"/>
  <c r="AN12" i="4"/>
  <c r="AN14" i="4" s="1"/>
  <c r="AP12" i="4"/>
  <c r="AP14" i="4" s="1"/>
  <c r="AT12" i="4"/>
  <c r="AT14" i="4" s="1"/>
  <c r="CB12" i="4"/>
  <c r="CB14" i="4" s="1"/>
  <c r="DJ12" i="4"/>
  <c r="DJ14" i="4" s="1"/>
  <c r="AI12" i="4"/>
  <c r="AI14" i="4" s="1"/>
  <c r="AZ12" i="4"/>
  <c r="AZ14" i="4" s="1"/>
  <c r="BB12" i="4"/>
  <c r="BB14" i="4" s="1"/>
  <c r="BD12" i="4"/>
  <c r="BD14" i="4" s="1"/>
  <c r="BD17" i="4" s="1"/>
  <c r="BJ18" i="4" s="1" a="1"/>
  <c r="BJ18" i="4" s="1"/>
  <c r="BF12" i="4"/>
  <c r="BF14" i="4"/>
  <c r="BJ12" i="4"/>
  <c r="BJ14" i="4" s="1"/>
  <c r="CR12" i="4"/>
  <c r="CR14" i="4" s="1"/>
  <c r="S12" i="4"/>
  <c r="S14" i="4" s="1"/>
  <c r="E28" i="4" l="1"/>
  <c r="F29" i="4" s="1"/>
  <c r="E30" i="4" a="1"/>
  <c r="E30" i="4" s="1"/>
  <c r="CD17" i="4"/>
  <c r="CJ18" i="4" s="1" a="1"/>
  <c r="CJ18" i="4" s="1"/>
  <c r="AM17" i="4"/>
  <c r="AS18" i="4" s="1" a="1"/>
  <c r="AS18" i="4" s="1"/>
  <c r="AU17" i="4"/>
  <c r="BA18" i="4" s="1" a="1"/>
  <c r="BA18" i="4" s="1"/>
  <c r="CU17" i="4"/>
  <c r="DA18" i="4" s="1" a="1"/>
  <c r="DA18" i="4" s="1"/>
  <c r="DA39" i="4" s="1"/>
  <c r="DN17" i="4"/>
  <c r="BK17" i="4"/>
  <c r="BQ18" i="4" s="1" a="1"/>
  <c r="BQ18" i="4" s="1"/>
  <c r="AV17" i="4"/>
  <c r="BB18" i="4" s="1" a="1"/>
  <c r="BB18" i="4" s="1"/>
  <c r="CZ17" i="4"/>
  <c r="CZ39" i="4"/>
  <c r="CR17" i="4"/>
  <c r="CX18" i="4" s="1" a="1"/>
  <c r="CX18" i="4" s="1"/>
  <c r="BH17" i="4"/>
  <c r="BN18" i="4" s="1" a="1"/>
  <c r="BN18" i="4" s="1"/>
  <c r="BN39" i="4" s="1"/>
  <c r="CP17" i="4"/>
  <c r="CV18" i="4" s="1" a="1"/>
  <c r="CV18" i="4" s="1"/>
  <c r="CV39" i="4" s="1"/>
  <c r="CQ17" i="4"/>
  <c r="CW18" i="4" s="1" a="1"/>
  <c r="CW18" i="4" s="1"/>
  <c r="BJ17" i="4"/>
  <c r="BP18" i="4" s="1" a="1"/>
  <c r="BP18" i="4" s="1"/>
  <c r="BL17" i="4"/>
  <c r="M17" i="4"/>
  <c r="S18" i="4" s="1" a="1"/>
  <c r="S18" i="4" s="1"/>
  <c r="CC17" i="4"/>
  <c r="CI18" i="4" s="1" a="1"/>
  <c r="CI18" i="4" s="1"/>
  <c r="DC17" i="4"/>
  <c r="DI18" i="4" s="1" a="1"/>
  <c r="DI18" i="4" s="1"/>
  <c r="CF17" i="4"/>
  <c r="CL18" i="4" s="1" a="1"/>
  <c r="CL18" i="4" s="1"/>
  <c r="BW17" i="4"/>
  <c r="CC18" i="4" s="1" a="1"/>
  <c r="CC18" i="4" s="1"/>
  <c r="DH17" i="4"/>
  <c r="DN18" i="4" s="1" a="1"/>
  <c r="DN18" i="4" s="1"/>
  <c r="DN39" i="4" s="1"/>
  <c r="AD17" i="4"/>
  <c r="AJ18" i="4" s="1" a="1"/>
  <c r="AJ18" i="4" s="1"/>
  <c r="BN17" i="4"/>
  <c r="BT18" i="4" s="1" a="1"/>
  <c r="BT18" i="4" s="1"/>
  <c r="W17" i="4"/>
  <c r="AC18" i="4" s="1" a="1"/>
  <c r="AC18" i="4" s="1"/>
  <c r="BT17" i="4"/>
  <c r="BT39" i="4" s="1"/>
  <c r="AB17" i="4"/>
  <c r="AH18" i="4" s="1" a="1"/>
  <c r="AH18" i="4" s="1"/>
  <c r="AF17" i="4"/>
  <c r="AL18" i="4" s="1" a="1"/>
  <c r="AL18" i="4" s="1"/>
  <c r="K17" i="4"/>
  <c r="Q18" i="4" s="1" a="1"/>
  <c r="Q18" i="4" s="1"/>
  <c r="BP17" i="4"/>
  <c r="BP39" i="4" s="1"/>
  <c r="CJ17" i="4"/>
  <c r="CJ39" i="4" s="1"/>
  <c r="DJ17" i="4"/>
  <c r="DP18" i="4" s="1" a="1"/>
  <c r="DP18" i="4" s="1"/>
  <c r="CV17" i="4"/>
  <c r="BO17" i="4"/>
  <c r="BO39" i="4"/>
  <c r="AY17" i="4"/>
  <c r="BE18" i="4" s="1" a="1"/>
  <c r="BE18" i="4" s="1"/>
  <c r="AP17" i="4"/>
  <c r="AV18" i="4" s="1" a="1"/>
  <c r="AV18" i="4" s="1"/>
  <c r="BZ17" i="4"/>
  <c r="CF18" i="4" s="1" a="1"/>
  <c r="CF18" i="4" s="1"/>
  <c r="H17" i="4"/>
  <c r="N18" i="4" s="1" a="1"/>
  <c r="N18" i="4" s="1"/>
  <c r="AS17" i="4"/>
  <c r="AY18" i="4" s="1" a="1"/>
  <c r="AY18" i="4" s="1"/>
  <c r="AL17" i="4"/>
  <c r="AR18" i="4" s="1" a="1"/>
  <c r="AR18" i="4" s="1"/>
  <c r="S17" i="4"/>
  <c r="Y18" i="4" s="1" a="1"/>
  <c r="Y18" i="4" s="1"/>
  <c r="DS17" i="4"/>
  <c r="BI17" i="4"/>
  <c r="BO18" i="4" s="1" a="1"/>
  <c r="BO18" i="4" s="1"/>
  <c r="BQ17" i="4"/>
  <c r="BW18" i="4" s="1" a="1"/>
  <c r="BW18" i="4" s="1"/>
  <c r="AK17" i="4"/>
  <c r="AQ18" i="4" s="1" a="1"/>
  <c r="AQ18" i="4" s="1"/>
  <c r="DG17" i="4"/>
  <c r="DM18" i="4" s="1" a="1"/>
  <c r="DM18" i="4" s="1"/>
  <c r="CE17" i="4"/>
  <c r="CK18" i="4" s="1" a="1"/>
  <c r="CK18" i="4" s="1"/>
  <c r="N17" i="4"/>
  <c r="T18" i="4" s="1" a="1"/>
  <c r="T18" i="4" s="1"/>
  <c r="AT17" i="4"/>
  <c r="AZ18" i="4" s="1" a="1"/>
  <c r="AZ18" i="4" s="1"/>
  <c r="BC17" i="4"/>
  <c r="BI18" i="4" s="1" a="1"/>
  <c r="BI18" i="4" s="1"/>
  <c r="CX17" i="4"/>
  <c r="DD18" i="4" s="1" a="1"/>
  <c r="DD18" i="4" s="1"/>
  <c r="DD39" i="4" s="1"/>
  <c r="F17" i="4"/>
  <c r="L18" i="4" s="1" a="1"/>
  <c r="L18" i="4" s="1"/>
  <c r="DL17" i="4"/>
  <c r="DR18" i="4" s="1" a="1"/>
  <c r="DR18" i="4" s="1"/>
  <c r="E17" i="4"/>
  <c r="K18" i="4" s="1" a="1"/>
  <c r="K18" i="4" s="1"/>
  <c r="E39" i="4"/>
  <c r="CM17" i="4"/>
  <c r="CS18" i="4" s="1" a="1"/>
  <c r="CS18" i="4" s="1"/>
  <c r="CS39" i="4" s="1"/>
  <c r="BY17" i="4"/>
  <c r="CB17" i="4"/>
  <c r="BX17" i="4"/>
  <c r="BX39" i="4" s="1"/>
  <c r="G17" i="4"/>
  <c r="M18" i="4" s="1" a="1"/>
  <c r="M18" i="4" s="1"/>
  <c r="AN17" i="4"/>
  <c r="AT18" i="4" s="1" a="1"/>
  <c r="AT18" i="4" s="1"/>
  <c r="I17" i="4"/>
  <c r="O18" i="4" s="1" a="1"/>
  <c r="O18" i="4" s="1"/>
  <c r="O17" i="4"/>
  <c r="U18" i="4" s="1" a="1"/>
  <c r="U18" i="4" s="1"/>
  <c r="AJ17" i="4"/>
  <c r="AP18" i="4" s="1" a="1"/>
  <c r="AP18" i="4" s="1"/>
  <c r="CT17" i="4"/>
  <c r="CZ18" i="4" s="1" a="1"/>
  <c r="CZ18" i="4" s="1"/>
  <c r="CT39" i="4"/>
  <c r="P17" i="4"/>
  <c r="V18" i="4" s="1" a="1"/>
  <c r="V18" i="4" s="1"/>
  <c r="CY17" i="4"/>
  <c r="CW17" i="4"/>
  <c r="BB17" i="4"/>
  <c r="BH18" i="4" s="1" a="1"/>
  <c r="BH18" i="4" s="1"/>
  <c r="DO17" i="4"/>
  <c r="L17" i="4"/>
  <c r="R18" i="4" s="1" a="1"/>
  <c r="R18" i="4" s="1"/>
  <c r="AZ17" i="4"/>
  <c r="BF18" i="4" s="1" a="1"/>
  <c r="BF18" i="4" s="1"/>
  <c r="V17" i="4"/>
  <c r="AB18" i="4" s="1" a="1"/>
  <c r="AB18" i="4" s="1"/>
  <c r="DM17" i="4"/>
  <c r="DS18" i="4" s="1" a="1"/>
  <c r="DS18" i="4" s="1"/>
  <c r="DS39" i="4" s="1"/>
  <c r="DP17" i="4"/>
  <c r="DP39" i="4" s="1"/>
  <c r="BA17" i="4"/>
  <c r="BG18" i="4" s="1" a="1"/>
  <c r="BG18" i="4" s="1"/>
  <c r="AI17" i="4"/>
  <c r="AO18" i="4" s="1" a="1"/>
  <c r="AO18" i="4" s="1"/>
  <c r="T17" i="4"/>
  <c r="Z18" i="4" s="1" a="1"/>
  <c r="Z18" i="4" s="1"/>
  <c r="BS17" i="4"/>
  <c r="BY18" i="4" s="1" a="1"/>
  <c r="BY18" i="4" s="1"/>
  <c r="BY39" i="4" s="1"/>
  <c r="DF17" i="4"/>
  <c r="AE17" i="4"/>
  <c r="AK18" i="4" s="1" a="1"/>
  <c r="AK18" i="4" s="1"/>
  <c r="CI17" i="4"/>
  <c r="CI39" i="4"/>
  <c r="AQ17" i="4"/>
  <c r="AW18" i="4" s="1" a="1"/>
  <c r="AW18" i="4" s="1"/>
  <c r="CH17" i="4"/>
  <c r="Y17" i="4"/>
  <c r="AE18" i="4" s="1" a="1"/>
  <c r="AE18" i="4" s="1"/>
  <c r="AR17" i="4"/>
  <c r="AX18" i="4" s="1" a="1"/>
  <c r="AX18" i="4" s="1"/>
  <c r="CA17" i="4"/>
  <c r="CG18" i="4" s="1" a="1"/>
  <c r="CG18" i="4" s="1"/>
  <c r="CG39" i="4" s="1"/>
  <c r="BM17" i="4"/>
  <c r="DA17" i="4"/>
  <c r="DR17" i="4"/>
  <c r="DB17" i="4"/>
  <c r="DH18" i="4" s="1" a="1"/>
  <c r="DH18" i="4" s="1"/>
  <c r="DH39" i="4" s="1"/>
  <c r="DI17" i="4"/>
  <c r="DO18" i="4" s="1" a="1"/>
  <c r="DO18" i="4" s="1"/>
  <c r="DO39" i="4" s="1"/>
  <c r="BF17" i="4"/>
  <c r="BL18" i="4" s="1" a="1"/>
  <c r="BL18" i="4" s="1"/>
  <c r="BL39" i="4" s="1"/>
  <c r="Z17" i="4"/>
  <c r="AF18" i="4" s="1" a="1"/>
  <c r="AF18" i="4" s="1"/>
  <c r="CS17" i="4"/>
  <c r="CY18" i="4" s="1" a="1"/>
  <c r="CY18" i="4" s="1"/>
  <c r="BU17" i="4"/>
  <c r="Q17" i="4"/>
  <c r="W18" i="4" s="1" a="1"/>
  <c r="W18" i="4" s="1"/>
  <c r="AA13" i="4"/>
  <c r="AA14" i="4" s="1"/>
  <c r="AX17" i="4"/>
  <c r="BD18" i="4" s="1" a="1"/>
  <c r="BD18" i="4" s="1"/>
  <c r="BG17" i="4"/>
  <c r="BM18" i="4" s="1" a="1"/>
  <c r="BM18" i="4" s="1"/>
  <c r="DK17" i="4"/>
  <c r="DQ18" i="4" s="1" a="1"/>
  <c r="DQ18" i="4" s="1"/>
  <c r="DK39" i="4"/>
  <c r="BR17" i="4"/>
  <c r="BX18" i="4" s="1" a="1"/>
  <c r="BX18" i="4" s="1"/>
  <c r="BE17" i="4"/>
  <c r="BK18" i="4" s="1" a="1"/>
  <c r="BK18" i="4" s="1"/>
  <c r="DQ17" i="4"/>
  <c r="DQ39" i="4" s="1"/>
  <c r="AH17" i="4"/>
  <c r="AN18" i="4" s="1" a="1"/>
  <c r="AN18" i="4" s="1"/>
  <c r="AW17" i="4"/>
  <c r="BC18" i="4" s="1" a="1"/>
  <c r="BC18" i="4" s="1"/>
  <c r="R17" i="4"/>
  <c r="X18" i="4" s="1" a="1"/>
  <c r="X18" i="4" s="1"/>
  <c r="J17" i="4"/>
  <c r="P18" i="4" s="1" a="1"/>
  <c r="P18" i="4" s="1"/>
  <c r="AO17" i="4"/>
  <c r="AU18" i="4" s="1" a="1"/>
  <c r="AU18" i="4" s="1"/>
  <c r="AG17" i="4"/>
  <c r="AM18" i="4" s="1" a="1"/>
  <c r="AM18" i="4" s="1"/>
  <c r="CL17" i="4"/>
  <c r="CL39" i="4" s="1"/>
  <c r="CK17" i="4"/>
  <c r="CG17" i="4"/>
  <c r="U17" i="4"/>
  <c r="AA18" i="4" s="1" a="1"/>
  <c r="AA18" i="4" s="1"/>
  <c r="BV17" i="4"/>
  <c r="CB18" i="4" s="1" a="1"/>
  <c r="CB18" i="4" s="1"/>
  <c r="CB39" i="4" s="1"/>
  <c r="D39" i="4"/>
  <c r="DM39" i="4" l="1"/>
  <c r="DJ39" i="4"/>
  <c r="CU39" i="4"/>
  <c r="CC39" i="4"/>
  <c r="DR39" i="4"/>
  <c r="CY39" i="4"/>
  <c r="BW39" i="4"/>
  <c r="F30" i="4" a="1"/>
  <c r="F30" i="4" s="1"/>
  <c r="F39" i="4" s="1"/>
  <c r="CQ18" i="4" a="1"/>
  <c r="CQ18" i="4" s="1"/>
  <c r="CQ39" i="4" s="1"/>
  <c r="BS18" i="4" a="1"/>
  <c r="BS18" i="4" s="1"/>
  <c r="BS39" i="4" s="1"/>
  <c r="DB18" i="4" a="1"/>
  <c r="DB18" i="4" s="1"/>
  <c r="DB39" i="4" s="1"/>
  <c r="CO18" i="4" a="1"/>
  <c r="CO18" i="4" s="1"/>
  <c r="CO39" i="4" s="1"/>
  <c r="CH18" i="4" a="1"/>
  <c r="CH18" i="4" s="1"/>
  <c r="CH39" i="4" s="1"/>
  <c r="CP18" i="4" a="1"/>
  <c r="CP18" i="4" s="1"/>
  <c r="CP39" i="4" s="1"/>
  <c r="DI39" i="4"/>
  <c r="DL18" i="4" a="1"/>
  <c r="DL18" i="4" s="1"/>
  <c r="DL39" i="4" s="1"/>
  <c r="DC18" i="4" a="1"/>
  <c r="DC18" i="4" s="1"/>
  <c r="DC39" i="4" s="1"/>
  <c r="CE18" i="4" a="1"/>
  <c r="CE18" i="4" s="1"/>
  <c r="CE39" i="4" s="1"/>
  <c r="CN18" i="4" a="1"/>
  <c r="CN18" i="4" s="1"/>
  <c r="CN39" i="4" s="1"/>
  <c r="DF18" i="4" a="1"/>
  <c r="DF18" i="4" s="1"/>
  <c r="DF39" i="4" s="1"/>
  <c r="BV18" i="4" a="1"/>
  <c r="BV18" i="4" s="1"/>
  <c r="BV39" i="4" s="1"/>
  <c r="DE18" i="4" a="1"/>
  <c r="DE18" i="4" s="1"/>
  <c r="DE39" i="4" s="1"/>
  <c r="CM18" i="4" a="1"/>
  <c r="CM18" i="4" s="1"/>
  <c r="CM39" i="4" s="1"/>
  <c r="DG18" i="4" a="1"/>
  <c r="DG18" i="4" s="1"/>
  <c r="DG39" i="4" s="1"/>
  <c r="BR18" i="4" a="1"/>
  <c r="BR18" i="4" s="1"/>
  <c r="BR39" i="4" s="1"/>
  <c r="CR18" i="4" a="1"/>
  <c r="CR18" i="4" s="1"/>
  <c r="CR39" i="4" s="1"/>
  <c r="BU18" i="4" a="1"/>
  <c r="BU18" i="4" s="1"/>
  <c r="BU39" i="4" s="1"/>
  <c r="CA18" i="4" a="1"/>
  <c r="CA18" i="4" s="1"/>
  <c r="CA39" i="4" s="1"/>
  <c r="CD18" i="4" a="1"/>
  <c r="CD18" i="4" s="1"/>
  <c r="CD39" i="4" s="1"/>
  <c r="CK39" i="4"/>
  <c r="BM39" i="4"/>
  <c r="BZ18" i="4" a="1"/>
  <c r="BZ18" i="4" s="1"/>
  <c r="BZ39" i="4" s="1"/>
  <c r="AA17" i="4"/>
  <c r="AG18" i="4" s="1" a="1"/>
  <c r="AG18" i="4" s="1"/>
  <c r="BQ39" i="4"/>
  <c r="CF39" i="4"/>
  <c r="CW39" i="4"/>
  <c r="CX39" i="4"/>
  <c r="F28" i="4" l="1"/>
  <c r="G29" i="4" s="1"/>
  <c r="G30" i="4" l="1" a="1"/>
  <c r="G30" i="4" s="1"/>
  <c r="G39" i="4" s="1"/>
  <c r="G28" i="4" l="1"/>
  <c r="H29" i="4" l="1"/>
  <c r="H30" i="4" l="1" a="1"/>
  <c r="H30" i="4" s="1"/>
  <c r="H28" i="4" s="1"/>
  <c r="H39" i="4" l="1"/>
  <c r="I29" i="4"/>
  <c r="I30" i="4" l="1" a="1"/>
  <c r="I30" i="4" s="1"/>
  <c r="I28" i="4" s="1"/>
  <c r="I39" i="4" l="1"/>
  <c r="J29" i="4"/>
  <c r="J30" i="4" l="1" a="1"/>
  <c r="J30" i="4" s="1"/>
  <c r="J28" i="4" s="1"/>
  <c r="J39" i="4" l="1"/>
  <c r="K29" i="4"/>
  <c r="K30" i="4" l="1" a="1"/>
  <c r="K30" i="4" s="1"/>
  <c r="K28" i="4" s="1"/>
  <c r="K39" i="4" l="1"/>
  <c r="L29" i="4"/>
  <c r="L30" i="4" l="1" a="1"/>
  <c r="L30" i="4" s="1"/>
  <c r="L28" i="4" s="1"/>
  <c r="L39" i="4" l="1"/>
  <c r="M29" i="4"/>
  <c r="M30" i="4" l="1" a="1"/>
  <c r="M30" i="4" s="1"/>
  <c r="M28" i="4" s="1"/>
  <c r="M39" i="4" l="1"/>
  <c r="N29" i="4"/>
  <c r="N30" i="4" l="1" a="1"/>
  <c r="N30" i="4" s="1"/>
  <c r="N28" i="4" s="1"/>
  <c r="N39" i="4"/>
  <c r="O29" i="4" l="1"/>
  <c r="O30" i="4" l="1" a="1"/>
  <c r="O30" i="4" s="1"/>
  <c r="O28" i="4" s="1"/>
  <c r="O39" i="4" l="1"/>
  <c r="P29" i="4"/>
  <c r="P30" i="4" l="1" a="1"/>
  <c r="P30" i="4" s="1"/>
  <c r="P28" i="4" s="1"/>
  <c r="P39" i="4" l="1"/>
  <c r="Q29" i="4"/>
  <c r="Q30" i="4" l="1" a="1"/>
  <c r="Q30" i="4" s="1"/>
  <c r="Q28" i="4" s="1"/>
  <c r="R29" i="4" l="1"/>
  <c r="Q39" i="4"/>
  <c r="R30" i="4" l="1" a="1"/>
  <c r="R30" i="4" s="1"/>
  <c r="R28" i="4" s="1"/>
  <c r="S29" i="4" l="1"/>
  <c r="R39" i="4"/>
  <c r="S30" i="4" l="1" a="1"/>
  <c r="S30" i="4" s="1"/>
  <c r="S28" i="4" s="1"/>
  <c r="S39" i="4" l="1"/>
  <c r="T29" i="4"/>
  <c r="T30" i="4" l="1" a="1"/>
  <c r="T30" i="4" s="1"/>
  <c r="T28" i="4" s="1"/>
  <c r="T39" i="4" l="1"/>
  <c r="U29" i="4"/>
  <c r="U30" i="4" l="1" a="1"/>
  <c r="U30" i="4" s="1"/>
  <c r="U28" i="4" s="1"/>
  <c r="U39" i="4"/>
  <c r="V29" i="4" l="1"/>
  <c r="V30" i="4" l="1" a="1"/>
  <c r="V30" i="4" s="1"/>
  <c r="V28" i="4" s="1"/>
  <c r="W29" i="4" l="1"/>
  <c r="V39" i="4"/>
  <c r="W30" i="4" l="1" a="1"/>
  <c r="W30" i="4" s="1"/>
  <c r="W28" i="4" s="1"/>
  <c r="W39" i="4" l="1"/>
  <c r="X29" i="4"/>
  <c r="X30" i="4" l="1" a="1"/>
  <c r="X30" i="4" s="1"/>
  <c r="X28" i="4" s="1"/>
  <c r="Y29" i="4" l="1"/>
  <c r="X39" i="4"/>
  <c r="Y30" i="4" l="1" a="1"/>
  <c r="Y30" i="4" s="1"/>
  <c r="Y28" i="4" s="1"/>
  <c r="Z29" i="4" l="1"/>
  <c r="Y39" i="4"/>
  <c r="Z30" i="4" l="1" a="1"/>
  <c r="Z30" i="4" s="1"/>
  <c r="Z28" i="4" s="1"/>
  <c r="Z39" i="4" l="1"/>
  <c r="AA29" i="4"/>
  <c r="AA30" i="4" l="1" a="1"/>
  <c r="AA30" i="4" s="1"/>
  <c r="AA28" i="4" s="1"/>
  <c r="AA39" i="4"/>
  <c r="AB29" i="4" l="1"/>
  <c r="AB30" i="4" l="1" a="1"/>
  <c r="AB30" i="4" s="1"/>
  <c r="AB28" i="4" s="1"/>
  <c r="AB39" i="4" l="1"/>
  <c r="AC29" i="4"/>
  <c r="AC30" i="4" l="1" a="1"/>
  <c r="AC30" i="4" s="1"/>
  <c r="AC28" i="4" s="1"/>
  <c r="AC39" i="4"/>
  <c r="AD29" i="4" l="1"/>
  <c r="AD30" i="4" l="1" a="1"/>
  <c r="AD30" i="4" s="1"/>
  <c r="AD28" i="4" s="1"/>
  <c r="AE29" i="4" l="1"/>
  <c r="AD39" i="4"/>
  <c r="AE30" i="4" l="1" a="1"/>
  <c r="AE30" i="4" s="1"/>
  <c r="AE28" i="4" s="1"/>
  <c r="AF29" i="4" l="1"/>
  <c r="AE39" i="4"/>
  <c r="AF30" i="4" l="1" a="1"/>
  <c r="AF30" i="4" s="1"/>
  <c r="AF28" i="4" s="1"/>
  <c r="AG29" i="4" l="1"/>
  <c r="AF39" i="4"/>
  <c r="AG30" i="4" l="1" a="1"/>
  <c r="AG30" i="4" s="1"/>
  <c r="AG28" i="4" s="1"/>
  <c r="AG39" i="4" l="1"/>
  <c r="AH29" i="4"/>
  <c r="AH30" i="4" l="1" a="1"/>
  <c r="AH30" i="4" s="1"/>
  <c r="AH28" i="4" s="1"/>
  <c r="AH39" i="4" l="1"/>
  <c r="AI29" i="4"/>
  <c r="AI30" i="4" l="1" a="1"/>
  <c r="AI30" i="4" s="1"/>
  <c r="AI28" i="4" s="1"/>
  <c r="AJ29" i="4" l="1"/>
  <c r="AI39" i="4"/>
  <c r="AJ30" i="4" l="1" a="1"/>
  <c r="AJ30" i="4" s="1"/>
  <c r="AJ28" i="4" s="1"/>
  <c r="AJ39" i="4" l="1"/>
  <c r="AK29" i="4"/>
  <c r="AK30" i="4" l="1" a="1"/>
  <c r="AK30" i="4" s="1"/>
  <c r="AK28" i="4" s="1"/>
  <c r="AL29" i="4" l="1"/>
  <c r="AK39" i="4"/>
  <c r="AL30" i="4" l="1" a="1"/>
  <c r="AL30" i="4" s="1"/>
  <c r="AL28" i="4" s="1"/>
  <c r="AM29" i="4" l="1"/>
  <c r="AL39" i="4"/>
  <c r="AM30" i="4" l="1" a="1"/>
  <c r="AM30" i="4" s="1"/>
  <c r="AM28" i="4" s="1"/>
  <c r="AM39" i="4" l="1"/>
  <c r="AN29" i="4"/>
  <c r="AN30" i="4" l="1" a="1"/>
  <c r="AN30" i="4" s="1"/>
  <c r="AN28" i="4" s="1"/>
  <c r="AO29" i="4" l="1"/>
  <c r="AN39" i="4"/>
  <c r="AO30" i="4" l="1" a="1"/>
  <c r="AO30" i="4" s="1"/>
  <c r="AO28" i="4" s="1"/>
  <c r="AP29" i="4" l="1"/>
  <c r="AO39" i="4"/>
  <c r="AP30" i="4" l="1" a="1"/>
  <c r="AP30" i="4" s="1"/>
  <c r="AP28" i="4" s="1"/>
  <c r="AP39" i="4" l="1"/>
  <c r="AQ29" i="4"/>
  <c r="AQ30" i="4" l="1" a="1"/>
  <c r="AQ30" i="4" s="1"/>
  <c r="AQ28" i="4" s="1"/>
  <c r="AR29" i="4" l="1"/>
  <c r="AQ39" i="4"/>
  <c r="AR30" i="4" l="1" a="1"/>
  <c r="AR30" i="4" s="1"/>
  <c r="AR28" i="4" s="1"/>
  <c r="AR39" i="4" l="1"/>
  <c r="AS29" i="4"/>
  <c r="AS30" i="4" l="1" a="1"/>
  <c r="AS30" i="4" s="1"/>
  <c r="AS28" i="4" s="1"/>
  <c r="AS39" i="4" l="1"/>
  <c r="AT29" i="4"/>
  <c r="AT30" i="4" l="1" a="1"/>
  <c r="AT30" i="4" s="1"/>
  <c r="AT28" i="4" s="1"/>
  <c r="AU29" i="4" l="1"/>
  <c r="AT39" i="4"/>
  <c r="AU30" i="4" l="1" a="1"/>
  <c r="AU30" i="4" s="1"/>
  <c r="AU28" i="4" s="1"/>
  <c r="AU39" i="4" l="1"/>
  <c r="AV29" i="4"/>
  <c r="AV30" i="4" l="1" a="1"/>
  <c r="AV30" i="4" s="1"/>
  <c r="AV28" i="4" s="1"/>
  <c r="AV39" i="4" l="1"/>
  <c r="AW29" i="4"/>
  <c r="AW30" i="4" l="1" a="1"/>
  <c r="AW30" i="4" s="1"/>
  <c r="AW28" i="4" s="1"/>
  <c r="AW39" i="4"/>
  <c r="AX29" i="4" l="1"/>
  <c r="AX30" i="4" l="1" a="1"/>
  <c r="AX30" i="4" s="1"/>
  <c r="AX28" i="4" s="1"/>
  <c r="AX39" i="4"/>
  <c r="AY29" i="4" l="1"/>
  <c r="AY30" i="4" l="1" a="1"/>
  <c r="AY30" i="4" s="1"/>
  <c r="AY28" i="4" s="1"/>
  <c r="AY39" i="4" l="1"/>
  <c r="AZ29" i="4"/>
  <c r="AZ30" i="4" l="1" a="1"/>
  <c r="AZ30" i="4" s="1"/>
  <c r="AZ28" i="4" s="1"/>
  <c r="AZ39" i="4" l="1"/>
  <c r="BA29" i="4"/>
  <c r="BA30" i="4" l="1" a="1"/>
  <c r="BA30" i="4" s="1"/>
  <c r="BA28" i="4" s="1"/>
  <c r="BA39" i="4" l="1"/>
  <c r="BB29" i="4"/>
  <c r="BB30" i="4" l="1" a="1"/>
  <c r="BB30" i="4" s="1"/>
  <c r="BB28" i="4" s="1"/>
  <c r="BB39" i="4" l="1"/>
  <c r="BC29" i="4"/>
  <c r="BC30" i="4" l="1" a="1"/>
  <c r="BC30" i="4" s="1"/>
  <c r="BC28" i="4" s="1"/>
  <c r="BD29" i="4" l="1"/>
  <c r="BC39" i="4"/>
  <c r="BD30" i="4" l="1" a="1"/>
  <c r="BD30" i="4" s="1"/>
  <c r="BD28" i="4" s="1"/>
  <c r="BD39" i="4"/>
  <c r="BE29" i="4" l="1"/>
  <c r="BE30" i="4" l="1" a="1"/>
  <c r="BE30" i="4" s="1"/>
  <c r="BE28" i="4" s="1"/>
  <c r="BE39" i="4" l="1"/>
  <c r="BF29" i="4"/>
  <c r="BF30" i="4" l="1" a="1"/>
  <c r="BF30" i="4" s="1"/>
  <c r="BF28" i="4" s="1"/>
  <c r="BF39" i="4" l="1"/>
  <c r="BG29" i="4"/>
  <c r="BG30" i="4" l="1" a="1"/>
  <c r="BG30" i="4" s="1"/>
  <c r="BG28" i="4" s="1"/>
  <c r="BH29" i="4" l="1"/>
  <c r="BG39" i="4"/>
  <c r="BH30" i="4" l="1" a="1"/>
  <c r="BH30" i="4" s="1"/>
  <c r="BH28" i="4" s="1"/>
  <c r="BI29" i="4" l="1"/>
  <c r="BH39" i="4"/>
  <c r="BI30" i="4" l="1" a="1"/>
  <c r="BI30" i="4" s="1"/>
  <c r="BI28" i="4" s="1"/>
  <c r="BI39" i="4"/>
  <c r="BJ29" i="4" l="1"/>
  <c r="BJ30" i="4" l="1" a="1"/>
  <c r="BJ30" i="4" s="1"/>
  <c r="BJ28" i="4" s="1"/>
  <c r="BK29" i="4" l="1"/>
  <c r="BJ39" i="4"/>
  <c r="BK30" i="4" l="1" a="1"/>
  <c r="BK30" i="4" s="1"/>
  <c r="BK28" i="4" s="1"/>
  <c r="BK39" i="4"/>
  <c r="O10" i="5" l="1"/>
  <c r="I10" i="5" a="1"/>
  <c r="I10" i="5" s="1"/>
  <c r="U10" i="5" a="1"/>
  <c r="U10" i="5" s="1"/>
  <c r="C10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<sst xmlns="http://schemas.openxmlformats.org/spreadsheetml/2006/main" count="179" uniqueCount="158">
  <si>
    <t>01  SETUP</t>
  </si>
  <si>
    <t>02  ASSUMPTIONS</t>
  </si>
  <si>
    <t>03  CALC ENGINE</t>
  </si>
  <si>
    <t>04  DASHBOARD</t>
  </si>
  <si>
    <t>REAL ESTATE OPERATIONS FINANCIAL MODEL</t>
  </si>
  <si>
    <t>v1.0  ·  Parametric Decision Engine  ·  Excel 365</t>
  </si>
  <si>
    <t>MODEL PURPOSE</t>
  </si>
  <si>
    <t>Evaluate individual real estate transactions under multiple scenarios.</t>
  </si>
  <si>
    <t>Covers 5 deal strategies across a 10-year (120-month) timeline.</t>
  </si>
  <si>
    <t>Single-file, parametric, zero-circular-references, no VBA.</t>
  </si>
  <si>
    <t>TAB MAP</t>
  </si>
  <si>
    <t>01_Setup_Scenarios</t>
  </si>
  <si>
    <t>Deal Strategy selector · Scenario Matrix (Base / Upside / Downside)</t>
  </si>
  <si>
    <t>Config — no tab color</t>
  </si>
  <si>
    <t>02_Assumptions</t>
  </si>
  <si>
    <t>All user inputs · Yellow cells · Named ranges · Conditional formatting</t>
  </si>
  <si>
    <t>Data layer — navy tab</t>
  </si>
  <si>
    <t>03_Calculation_Engine</t>
  </si>
  <si>
    <t>121-month timeline · Capex / VAT / Debt / Revenue engines</t>
  </si>
  <si>
    <t>Calc layer — teal tab</t>
  </si>
  <si>
    <t>04_Summary_Dashboard</t>
  </si>
  <si>
    <t>KPIs · Cash flow chart · Sensitivity matrix</t>
  </si>
  <si>
    <t>Presentation — blue tab</t>
  </si>
  <si>
    <t>QUICK START</t>
  </si>
  <si>
    <t>1.  Select Deal Strategy in 01_Setup_Scenarios → cell D9  (1–5)</t>
  </si>
  <si>
    <t>2.  Choose Active Scenario → cell D22  (1=Base, 2=Upside, 3=Downside)</t>
  </si>
  <si>
    <t>3.  Fill yellow input cells in 02_Assumptions</t>
  </si>
  <si>
    <t>4.  Review monthly calculations in 03_Calculation_Engine</t>
  </si>
  <si>
    <t>5.  Check KPIs and charts on 04_Summary_Dashboard</t>
  </si>
  <si>
    <t>COMPONENT STATUS</t>
  </si>
  <si>
    <t>Scenario Matrix, Named Ranges, Data Validation</t>
  </si>
  <si>
    <t>GENERATED</t>
  </si>
  <si>
    <t>Assumptions — all fields from Data Dictionary</t>
  </si>
  <si>
    <t>Calc Engine — Capex / VAT / Debt / Revenue rows</t>
  </si>
  <si>
    <t>Net Cash Flow (Levered) row</t>
  </si>
  <si>
    <t>Dashboard — KPI tiles with XIRR / SUMIF formulas</t>
  </si>
  <si>
    <t>Revolving Credit (SCAN/REDUCE — O365 only)</t>
  </si>
  <si>
    <t>PLACEHOLDER — build after Chart/Sensitivity</t>
  </si>
  <si>
    <t>Monthly Cash Flow Combo Chart</t>
  </si>
  <si>
    <t>PLACEHOLDER — instructions on Dashboard tab</t>
  </si>
  <si>
    <t>Sensitivity Data Table (What-If)</t>
  </si>
  <si>
    <t>LAMBDA Amortization in Name Manager</t>
  </si>
  <si>
    <t>OPTIONAL — IFS logic already in engine</t>
  </si>
  <si>
    <t>SCENARIO CONTROL PANEL</t>
  </si>
  <si>
    <t>Select deal strategy and configure scenario multipliers</t>
  </si>
  <si>
    <t>DEAL STRATEGY SELECTION</t>
  </si>
  <si>
    <t>Project Type  (PROJECT_TYPE)</t>
  </si>
  <si>
    <t>SCENARIO PARAMETER MATRIX</t>
  </si>
  <si>
    <t>Parameter</t>
  </si>
  <si>
    <t>Base Case (1)</t>
  </si>
  <si>
    <t>Upside (2)</t>
  </si>
  <si>
    <t>Downside (3)</t>
  </si>
  <si>
    <t>Capex Budget Multiplier</t>
  </si>
  <si>
    <t>Revenue / Exit Value Mult</t>
  </si>
  <si>
    <t>Exit Cap Rate Adj (%)</t>
  </si>
  <si>
    <t>Rental Income Multiplier</t>
  </si>
  <si>
    <t>ACTIVE SCENARIO SELECTOR</t>
  </si>
  <si>
    <t>Active Scenario  (ACTIVE_SCENARIO)</t>
  </si>
  <si>
    <t>ACTIVE MULTIPLIERS  (live — drives Calculation Engine)</t>
  </si>
  <si>
    <t>Active Capex Multiplier</t>
  </si>
  <si>
    <t>Active Revenue Multiplier</t>
  </si>
  <si>
    <t>Active Cap Rate Adj</t>
  </si>
  <si>
    <t>Active Rental Multiplier</t>
  </si>
  <si>
    <t>ASSUMPTIONS</t>
  </si>
  <si>
    <t>Yellow = user input  ·  Blue text = hardcoded  ·  Green text = formula</t>
  </si>
  <si>
    <t>ACQUISITION</t>
  </si>
  <si>
    <t>Project Start Date  (PROJECT_START_DATE)</t>
  </si>
  <si>
    <t>2025-01-01</t>
  </si>
  <si>
    <t>Transaction closing date — Month 0</t>
  </si>
  <si>
    <t>Acquisition Cost  (ACQUISITION_COST)</t>
  </si>
  <si>
    <t>Direct purchase price, must be &gt; 0</t>
  </si>
  <si>
    <t>Acquisition Tax Rate  (ACQUISITION_TAX_RATE)</t>
  </si>
  <si>
    <t>Transfer tax / stamp duty — range 0%–20%</t>
  </si>
  <si>
    <t>CAPEX / DEVELOPMENT</t>
  </si>
  <si>
    <t>Total Capex Budget  (CAPEX_TOTAL_BUDGET)</t>
  </si>
  <si>
    <t>Gross construction cost, excl. financing</t>
  </si>
  <si>
    <t>Retention Rate  (RETENTION_RATE)</t>
  </si>
  <si>
    <t>% withheld from contractor per month — max 15%</t>
  </si>
  <si>
    <t>Retention Release Month  (RETENTION_RELEASE_MONTH)</t>
  </si>
  <si>
    <t>Month index at which accrued retention is released</t>
  </si>
  <si>
    <t>Capex Distribution Curve  (CAPEX_DISTRIBUTION_CURVE — months 1–120)</t>
  </si>
  <si>
    <t>SALES / EXIT</t>
  </si>
  <si>
    <t>Expected Sale Price  (SALE_PRICE)</t>
  </si>
  <si>
    <t>Target exit value — Outright / Dev strategies</t>
  </si>
  <si>
    <t>Buy-to-Rent Exit Value  [auto-calculated, read-only]</t>
  </si>
  <si>
    <t>Stabilised NOI at exit ÷ Exit Cap Rate</t>
  </si>
  <si>
    <t>Target Exit Month  (TARGET_EXIT_MONTH)</t>
  </si>
  <si>
    <t>Month index of asset sale — must be ≤ 120</t>
  </si>
  <si>
    <t>Exit Cap Rate  (EXIT_CAP_RATE)</t>
  </si>
  <si>
    <t>Applied for Buy-to-Rent exit valuation</t>
  </si>
  <si>
    <t>OPERATING REVENUE  (Buy-to-Rent strategy only)</t>
  </si>
  <si>
    <t>Annual Gross Rent Revenue  (ANNUAL_GROSS_RENT)</t>
  </si>
  <si>
    <t>Stabilised Year 1 gross rent</t>
  </si>
  <si>
    <t>Rental Opex %  (RENTAL_OPEX_PERCENT)</t>
  </si>
  <si>
    <t>Property mgmt + maintenance as % of gross rent</t>
  </si>
  <si>
    <t>Annual Rent Inflation  (ANNUAL_RENT_INFLATION)</t>
  </si>
  <si>
    <t>Year-on-year rent growth rate</t>
  </si>
  <si>
    <t>Stabilised Occupancy  (STABILISED_OCCUPANCY)</t>
  </si>
  <si>
    <t>Long-run average physical occupancy</t>
  </si>
  <si>
    <t>VAT PARAMETERS</t>
  </si>
  <si>
    <t>VAT Rate — Capex  (VAT_RATE_CAPEX)</t>
  </si>
  <si>
    <t>Applied to construction / works invoices</t>
  </si>
  <si>
    <t>VAT Rate — Sales  (VAT_RATE_SALES)</t>
  </si>
  <si>
    <t>Applied to asset sale proceeds</t>
  </si>
  <si>
    <t>VAT Refund Lag / Months  (VAT_REFUND_LAG)</t>
  </si>
  <si>
    <t>Delay between paying VAT and receiving cash refund — range 0–12</t>
  </si>
  <si>
    <t>DEBT PARAMETERS</t>
  </si>
  <si>
    <t>Loan-to-Value Ratio  (LTV_RATIO)</t>
  </si>
  <si>
    <t>Senior mortgage as % of acquisition cost — max 90%</t>
  </si>
  <si>
    <t>Amortization Type  (DEBT_AMORTIZATION_TYPE)</t>
  </si>
  <si>
    <t>Annual Interest Rate  (DEBT_INTEREST_RATE)</t>
  </si>
  <si>
    <t>Nominal annual rate — senior mortgage</t>
  </si>
  <si>
    <t>Loan Tenor / Months  (DEBT_TENOR_MONTHS)</t>
  </si>
  <si>
    <t>Length of amortization period — max 120</t>
  </si>
  <si>
    <t>Revolving Facility Limit  (REVOLVING_LIMIT)</t>
  </si>
  <si>
    <t>Maximum available revolving line of credit</t>
  </si>
  <si>
    <t>Revolving Rate  (REVOLVING_INTEREST_RATE)</t>
  </si>
  <si>
    <t>Annual rate charged on drawn revolving balance</t>
  </si>
  <si>
    <t>EQUITY &amp; JOINT VENTURE  (Phase 2 / JV Strategy Only)</t>
  </si>
  <si>
    <t>[PHASE 2 PLACEHOLDER — JV Equity Inputs]
Fields: LP Equity Share %, GP Promote %, Preferred Return Hurdle,
Catch-Up Rate, Promote Tier Breakpoints.
Implementation: Manual — after Phase 2 JV architecture is finalized per spec §1.3.</t>
  </si>
  <si>
    <t>CALCULATION ENGINE</t>
  </si>
  <si>
    <t>Monthly timeline  t=0 (acquisition) → t=120  ·  121 periods  ·  base currency</t>
  </si>
  <si>
    <t>MONTH_INDEX   ( t = 0 … 120 )</t>
  </si>
  <si>
    <t>CALENDAR_DATE</t>
  </si>
  <si>
    <t>CAPEX ENGINE</t>
  </si>
  <si>
    <t>GROSS_CAPEX</t>
  </si>
  <si>
    <t>RETENTION_WITHHELD_M</t>
  </si>
  <si>
    <t>RETENTION_RELEASED_M</t>
  </si>
  <si>
    <t>NET_CAPEX_PAID</t>
  </si>
  <si>
    <t>VAT ENGINE</t>
  </si>
  <si>
    <t>VAT_PAID_CAPEX_M</t>
  </si>
  <si>
    <t>VAT_REFUNDS_RECEIVED</t>
  </si>
  <si>
    <t>SALES / RENTAL REVENUE ENGINE</t>
  </si>
  <si>
    <t>SALE_PROCEEDS</t>
  </si>
  <si>
    <t>GROSS_RENT_REVENUE</t>
  </si>
  <si>
    <t>OPERATING_EXPENSES</t>
  </si>
  <si>
    <t>NET_REVENUE</t>
  </si>
  <si>
    <t>DEBT ENGINE  —  French / Italian / Bullet  (IFS switch)</t>
  </si>
  <si>
    <t>MORTGAGE_DRAWDOWN</t>
  </si>
  <si>
    <t>LOAN_BALANCE  (outstanding)</t>
  </si>
  <si>
    <t>MORTGAGE_INTEREST_PMT</t>
  </si>
  <si>
    <t>MORTGAGE_PRINCIPAL_PMT</t>
  </si>
  <si>
    <t>REVOLVING CREDIT ENGINE  (O365 SCAN / REDUCE)</t>
  </si>
  <si>
    <t>[REVOLVING CREDIT — O365 SCAN Engine]
Rows: REVOLVING_DRAWDOWN · REVOLVING_REPAYMENT · REVOLVING_BALANCE · REVOLVING_INTEREST
Logic: =SCAN(0, pre_debt_NCF_array, LAMBDA(acc, x, MAX(0, acc-x)))
Requires: Excel 365  ·  Spec ref: §1.3 Debt &amp; Revolving Credit Engine</t>
  </si>
  <si>
    <t>NET CASH FLOW  (LEVERED)</t>
  </si>
  <si>
    <t>NET_CASH_FLOW_LEVERED</t>
  </si>
  <si>
    <t>DEAL PERFORMANCE DASHBOARD</t>
  </si>
  <si>
    <t>Key metrics  ·  Cash flow profile  ·  Sensitivity analysis</t>
  </si>
  <si>
    <t>KEY PERFORMANCE INDICATORS</t>
  </si>
  <si>
    <t>EQUITY IRR</t>
  </si>
  <si>
    <t>PROJECT IRR  (UNLEVERED APPROX.)</t>
  </si>
  <si>
    <t>EQUITY MULTIPLE</t>
  </si>
  <si>
    <t>PEAK EQUITY  (O365)</t>
  </si>
  <si>
    <t>DEAL STRATEGY</t>
  </si>
  <si>
    <t>MONTHLY CASH FLOW PROFILE</t>
  </si>
  <si>
    <t>[CHART PLACEHOLDER — Clustered Bar + Line Combo]
Source: 03_Calculation_Engine
Bar Series:  NET_CASH_FLOW_LEVERED (row 39, cols C:DS) — monthly inflows/outflows
Line Series: Running SUM of NET_CASH_FLOW_LEVERED — cumulative position (2nd axis)
X-axis labels: CALENDAR_DATE (row 8, cols C:DS)
Positive bars: #00C853  |  Negative bars: #D32F2F  |  Cumulative line: #051C2C
Build: Insert → Chart → Combo Chart · Format per excel-visual-style spec
Chart title: link to formula cell with deal name / strategy</t>
  </si>
  <si>
    <t>SENSITIVITY ANALYSIS  —  Equity IRR  ×  Capex Cost  ×  Exit Value</t>
  </si>
  <si>
    <t>[SENSITIVITY MATRIX PLACEHOLDER — Excel What-If Data Table]
Output cell: Equity IRR (tile C10 on this sheet)
Y-axis (rows): Exit Sale Value — 7 steps, e.g. −30% to +30% in 10% increments
X-axis (cols): Total Capex Budget — 7 steps, e.g. −30% to +30% in 10% increments
Row input cell: SALE_PRICE  (02_Assumptions!$D$22)
Col input cell: CAPEX_TOTAL_BUDGET  (02_Assumptions!$D$13)
Build: Data → What-If Analysis → Data Table → enter row/col input cells
Conditional Format: Equity IRR &gt; 15% → #00C853  |  &lt; 8% → #D32F2F  |  else → #051C2C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</si>
</sst>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0.000%"/>
    <numFmt numFmtId="165" formatCode="&quot;$&quot;#,##0;\(&quot;$&quot;#,##0\);&quot;-&quot;"/>
    <numFmt numFmtId="166" formatCode="0.0%"/>
    <numFmt numFmtId="167" formatCode="0.00&quot;x&quot;"/>
  </numFmts>
  <fonts count="31" x14ac:knownFonts="1">
    <font>
      <sz val="11"/>
      <color theme="1"/>
      <name val="等线"/>
      <family val="2"/>
      <scheme val="minor"/>
    </font>
    <font>
      <sz val="12"/>
      <color rgb="FFF5F5F2"/>
      <name val="Garamond"/>
      <family val="1"/>
    </font>
    <font>
      <b/>
      <sz val="22"/>
      <color rgb="FF051C2C"/>
      <name val="Garamond"/>
      <family val="1"/>
    </font>
    <font>
      <i/>
      <sz val="10"/>
      <color rgb="FF888888"/>
      <name val="等线"/>
    </font>
    <font>
      <b/>
      <sz val="13"/>
      <color rgb="FF051C2C"/>
      <name val="Garamond"/>
      <family val="1"/>
    </font>
    <font>
      <sz val="11"/>
      <color rgb="FF1A1A2E"/>
      <name val="等线"/>
    </font>
    <font>
      <b/>
      <sz val="11"/>
      <color rgb="FFF5F5F2"/>
      <name val="Garamond"/>
      <family val="1"/>
    </font>
    <font>
      <sz val="10"/>
      <color rgb="FF1A1A2E"/>
      <name val="等线"/>
    </font>
    <font>
      <sz val="9"/>
      <color rgb="FF888888"/>
      <name val="等线"/>
    </font>
    <font>
      <sz val="10"/>
      <color rgb="FF00C853"/>
      <name val="等线"/>
    </font>
    <font>
      <sz val="10"/>
      <color rgb="FF888888"/>
      <name val="等线"/>
    </font>
    <font>
      <b/>
      <sz val="12"/>
      <color rgb="FF2251FF"/>
      <name val="Garamond"/>
      <family val="1"/>
    </font>
    <font>
      <sz val="11"/>
      <color rgb="FF0000FF"/>
      <name val="等线"/>
    </font>
    <font>
      <b/>
      <sz val="12"/>
      <color rgb="FFF5F5F2"/>
      <name val="Garamond"/>
      <family val="1"/>
    </font>
    <font>
      <b/>
      <sz val="11"/>
      <color rgb="FF1A1A2E"/>
      <name val="等线"/>
    </font>
    <font>
      <b/>
      <sz val="14"/>
      <color rgb="FF0000FF"/>
      <name val="Garamond"/>
      <family val="1"/>
    </font>
    <font>
      <b/>
      <sz val="13"/>
      <color rgb="FF2251FF"/>
      <name val="Garamond"/>
      <family val="1"/>
    </font>
    <font>
      <sz val="11"/>
      <color rgb="FF008000"/>
      <name val="等线"/>
    </font>
    <font>
      <i/>
      <sz val="9"/>
      <color rgb="FF888888"/>
      <name val="等线"/>
    </font>
    <font>
      <b/>
      <sz val="11"/>
      <color rgb="FF051C2C"/>
      <name val="Garamond"/>
      <family val="1"/>
    </font>
    <font>
      <sz val="7"/>
      <color rgb="FFF5F5F2"/>
      <name val="等线"/>
    </font>
    <font>
      <sz val="7"/>
      <color rgb="FF0000FF"/>
      <name val="等线"/>
    </font>
    <font>
      <i/>
      <sz val="9"/>
      <color rgb="FF404040"/>
      <name val="Garamond"/>
      <family val="1"/>
    </font>
    <font>
      <sz val="9"/>
      <color rgb="FFF5F5F2"/>
      <name val="等线"/>
    </font>
    <font>
      <sz val="9"/>
      <color rgb="FF1A1A2E"/>
      <name val="等线"/>
    </font>
    <font>
      <b/>
      <sz val="10"/>
      <color rgb="FF1A1A2E"/>
      <name val="等线"/>
    </font>
    <font>
      <sz val="8"/>
      <color rgb="FF008000"/>
      <name val="等线"/>
    </font>
    <font>
      <b/>
      <sz val="9"/>
      <color rgb="FF1A1A2E"/>
      <name val="等线"/>
    </font>
    <font>
      <sz val="10"/>
      <color rgb="FF888888"/>
      <name val="Garamond"/>
      <family val="1"/>
    </font>
    <font>
      <b/>
      <sz val="24"/>
      <color rgb="FF051C2C"/>
      <name val="Garamond"/>
      <family val="1"/>
    </font>
    <font>
      <sz val="11"/>
      <color theme="1"/>
      <name val="等线"/>
    </font>
  </fonts>
  <fills count="9">
    <fill>
      <patternFill patternType="none"/>
    </fill>
    <fill>
      <patternFill patternType="gray125"/>
    </fill>
    <fill>
      <patternFill patternType="solid">
        <fgColor rgb="FFF5F5F2"/>
      </patternFill>
    </fill>
    <fill>
      <patternFill patternType="solid">
        <fgColor rgb="FF051C2C"/>
      </patternFill>
    </fill>
    <fill>
      <patternFill patternType="solid">
        <fgColor rgb="FF134E64"/>
      </patternFill>
    </fill>
    <fill>
      <patternFill patternType="solid">
        <fgColor rgb="FF2251FF"/>
      </patternFill>
    </fill>
    <fill>
      <patternFill patternType="solid">
        <fgColor rgb="FFFFFDE7"/>
      </patternFill>
    </fill>
    <fill>
      <patternFill patternType="solid">
        <fgColor rgb="FFFFFFFF"/>
      </patternFill>
    </fill>
    <fill>
      <patternFill patternType="solid">
        <fgColor rgb="FFD9D9D9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051C2C"/>
      </bottom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/>
      <top style="thin">
        <color rgb="FF051C2C"/>
      </top>
      <bottom/>
      <diagonal/>
    </border>
    <border>
      <left/>
      <right/>
      <top style="medium">
        <color rgb="FF051C2C"/>
      </top>
      <bottom style="medium">
        <color rgb="FF051C2C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3" borderId="0" xfId="0" applyFont="1" applyFill="1" applyAlignment="1">
      <alignment horizontal="center" vertical="center"/>
    </xf>
    <xf numFmtId="0" fontId="2" fillId="2" borderId="0" xfId="0" applyFont="1" applyFill="1"/>
    <xf numFmtId="0" fontId="3" fillId="2" borderId="0" xfId="0" applyFont="1" applyFill="1"/>
    <xf numFmtId="0" fontId="5" fillId="2" borderId="0" xfId="0" applyFont="1" applyFill="1"/>
    <xf numFmtId="0" fontId="6" fillId="3" borderId="0" xfId="0" applyFont="1" applyFill="1" applyAlignment="1">
      <alignment horizontal="center" vertical="center"/>
    </xf>
    <xf numFmtId="0" fontId="7" fillId="2" borderId="0" xfId="0" applyFont="1" applyFill="1"/>
    <xf numFmtId="0" fontId="8" fillId="2" borderId="0" xfId="0" applyFont="1" applyFill="1"/>
    <xf numFmtId="0" fontId="6" fillId="4" borderId="0" xfId="0" applyFont="1" applyFill="1" applyAlignment="1">
      <alignment horizontal="center" vertical="center"/>
    </xf>
    <xf numFmtId="0" fontId="9" fillId="2" borderId="0" xfId="0" applyFont="1" applyFill="1"/>
    <xf numFmtId="0" fontId="10" fillId="2" borderId="0" xfId="0" applyFont="1" applyFill="1"/>
    <xf numFmtId="0" fontId="11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1" fontId="12" fillId="6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13" fillId="3" borderId="0" xfId="0" applyFont="1" applyFill="1" applyAlignment="1">
      <alignment horizontal="left" vertical="center"/>
    </xf>
    <xf numFmtId="0" fontId="13" fillId="3" borderId="0" xfId="0" applyFont="1" applyFill="1" applyAlignment="1">
      <alignment horizontal="center" vertical="center"/>
    </xf>
    <xf numFmtId="2" fontId="12" fillId="6" borderId="0" xfId="0" applyNumberFormat="1" applyFont="1" applyFill="1" applyAlignment="1">
      <alignment horizontal="right" vertical="center"/>
    </xf>
    <xf numFmtId="0" fontId="5" fillId="7" borderId="0" xfId="0" applyFont="1" applyFill="1" applyAlignment="1">
      <alignment horizontal="left" vertical="center"/>
    </xf>
    <xf numFmtId="164" fontId="12" fillId="6" borderId="0" xfId="0" applyNumberFormat="1" applyFont="1" applyFill="1" applyAlignment="1">
      <alignment horizontal="right" vertical="center"/>
    </xf>
    <xf numFmtId="0" fontId="14" fillId="2" borderId="0" xfId="0" applyFont="1" applyFill="1" applyAlignment="1">
      <alignment horizontal="left" vertical="center"/>
    </xf>
    <xf numFmtId="1" fontId="15" fillId="6" borderId="0" xfId="0" applyNumberFormat="1" applyFont="1" applyFill="1" applyAlignment="1">
      <alignment horizontal="right" vertical="center"/>
    </xf>
    <xf numFmtId="0" fontId="16" fillId="2" borderId="0" xfId="0" applyFont="1" applyFill="1" applyAlignment="1">
      <alignment horizontal="left" vertical="center"/>
    </xf>
    <xf numFmtId="2" fontId="17" fillId="2" borderId="0" xfId="0" applyNumberFormat="1" applyFont="1" applyFill="1" applyAlignment="1">
      <alignment horizontal="right" vertical="center"/>
    </xf>
    <xf numFmtId="164" fontId="17" fillId="2" borderId="0" xfId="0" applyNumberFormat="1" applyFont="1" applyFill="1" applyAlignment="1">
      <alignment horizontal="right" vertical="center"/>
    </xf>
    <xf numFmtId="49" fontId="12" fillId="6" borderId="0" xfId="0" applyNumberFormat="1" applyFont="1" applyFill="1" applyAlignment="1">
      <alignment horizontal="right" vertical="center"/>
    </xf>
    <xf numFmtId="0" fontId="18" fillId="2" borderId="0" xfId="0" applyFont="1" applyFill="1" applyAlignment="1">
      <alignment horizontal="left" vertical="center"/>
    </xf>
    <xf numFmtId="165" fontId="12" fillId="6" borderId="0" xfId="0" applyNumberFormat="1" applyFont="1" applyFill="1" applyAlignment="1">
      <alignment horizontal="right" vertical="center"/>
    </xf>
    <xf numFmtId="166" fontId="12" fillId="6" borderId="0" xfId="0" applyNumberFormat="1" applyFont="1" applyFill="1" applyAlignment="1">
      <alignment horizontal="right" vertical="center"/>
    </xf>
    <xf numFmtId="0" fontId="19" fillId="2" borderId="1" xfId="0" applyFont="1" applyFill="1" applyBorder="1" applyAlignment="1">
      <alignment horizontal="left" vertical="center"/>
    </xf>
    <xf numFmtId="0" fontId="20" fillId="3" borderId="0" xfId="0" applyFont="1" applyFill="1" applyAlignment="1">
      <alignment horizontal="center" vertical="center"/>
    </xf>
    <xf numFmtId="166" fontId="21" fillId="6" borderId="0" xfId="0" applyNumberFormat="1" applyFont="1" applyFill="1" applyAlignment="1">
      <alignment horizontal="center" vertical="center"/>
    </xf>
    <xf numFmtId="165" fontId="17" fillId="2" borderId="0" xfId="0" applyNumberFormat="1" applyFont="1" applyFill="1" applyAlignment="1">
      <alignment horizontal="right" vertical="center"/>
    </xf>
    <xf numFmtId="0" fontId="18" fillId="2" borderId="0" xfId="0" applyFont="1" applyFill="1"/>
    <xf numFmtId="10" fontId="12" fillId="6" borderId="0" xfId="0" applyNumberFormat="1" applyFont="1" applyFill="1" applyAlignment="1">
      <alignment horizontal="right" vertical="center"/>
    </xf>
    <xf numFmtId="0" fontId="6" fillId="3" borderId="0" xfId="0" applyFont="1" applyFill="1" applyAlignment="1">
      <alignment horizontal="left" vertical="center"/>
    </xf>
    <xf numFmtId="1" fontId="23" fillId="3" borderId="0" xfId="0" applyNumberFormat="1" applyFont="1" applyFill="1" applyAlignment="1">
      <alignment horizontal="center" vertical="center"/>
    </xf>
    <xf numFmtId="1" fontId="24" fillId="7" borderId="0" xfId="0" applyNumberFormat="1" applyFont="1" applyFill="1" applyAlignment="1">
      <alignment horizontal="center" vertical="center"/>
    </xf>
    <xf numFmtId="1" fontId="24" fillId="2" borderId="0" xfId="0" applyNumberFormat="1" applyFont="1" applyFill="1" applyAlignment="1">
      <alignment horizontal="center" vertical="center"/>
    </xf>
    <xf numFmtId="0" fontId="25" fillId="2" borderId="0" xfId="0" applyFont="1" applyFill="1" applyAlignment="1">
      <alignment horizontal="left" vertical="center"/>
    </xf>
    <xf numFmtId="17" fontId="26" fillId="0" borderId="0" xfId="0" applyNumberFormat="1" applyFont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165" fontId="24" fillId="0" borderId="0" xfId="0" applyNumberFormat="1" applyFont="1" applyAlignment="1">
      <alignment horizontal="right" vertical="center"/>
    </xf>
    <xf numFmtId="165" fontId="27" fillId="0" borderId="3" xfId="0" applyNumberFormat="1" applyFont="1" applyBorder="1" applyAlignment="1">
      <alignment horizontal="right" vertical="center"/>
    </xf>
    <xf numFmtId="0" fontId="19" fillId="2" borderId="0" xfId="0" applyFont="1" applyFill="1" applyAlignment="1">
      <alignment horizontal="left" vertical="center"/>
    </xf>
    <xf numFmtId="165" fontId="25" fillId="0" borderId="4" xfId="0" applyNumberFormat="1" applyFont="1" applyBorder="1" applyAlignment="1">
      <alignment horizontal="right" vertical="center"/>
    </xf>
    <xf numFmtId="0" fontId="22" fillId="8" borderId="2" xfId="0" applyFont="1" applyFill="1" applyBorder="1" applyAlignment="1">
      <alignment horizontal="center" vertical="center" wrapText="1"/>
    </xf>
    <xf numFmtId="0" fontId="0" fillId="8" borderId="2" xfId="0" applyFill="1" applyBorder="1"/>
    <xf numFmtId="0" fontId="28" fillId="7" borderId="0" xfId="0" applyFont="1" applyFill="1" applyAlignment="1">
      <alignment horizontal="center" vertical="center"/>
    </xf>
    <xf numFmtId="0" fontId="0" fillId="0" borderId="0" xfId="0"/>
    <xf numFmtId="0" fontId="4" fillId="2" borderId="1" xfId="0" applyFont="1" applyFill="1" applyBorder="1"/>
    <xf numFmtId="167" fontId="29" fillId="7" borderId="0" xfId="0" applyNumberFormat="1" applyFont="1" applyFill="1" applyAlignment="1">
      <alignment horizontal="center" vertical="center"/>
    </xf>
    <xf numFmtId="10" fontId="29" fillId="7" borderId="0" xfId="0" applyNumberFormat="1" applyFont="1" applyFill="1" applyAlignment="1">
      <alignment horizontal="center" vertical="center"/>
    </xf>
    <xf numFmtId="49" fontId="29" fillId="7" borderId="0" xfId="0" applyNumberFormat="1" applyFont="1" applyFill="1" applyAlignment="1">
      <alignment horizontal="center" vertical="center"/>
    </xf>
    <xf numFmtId="0" fontId="30" fillId="3" borderId="0" xfId="0" applyFont="1" applyFill="1"/>
    <xf numFmtId="0" fontId="30" fillId="2" borderId="0" xfId="0" applyFont="1" applyFill="1"/>
    <xf numFmtId="0" fontId="30" fillId="5" borderId="0" xfId="0" applyFont="1" applyFill="1"/>
    <xf numFmtId="0" fontId="30" fillId="7" borderId="0" xfId="0" applyFont="1" applyFill="1"/>
    <xf numFmtId="0" fontId="30" fillId="0" borderId="0" xfId="0" applyFon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1EF6BCB6-37C5-45EB-AD42-1FD545CF195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Custom 3">
      <a:dk1>
        <a:srgbClr val="000000"/>
      </a:dk1>
      <a:lt1>
        <a:srgbClr val="FFFFFF"/>
      </a:lt1>
      <a:dk2>
        <a:srgbClr val="081D58"/>
      </a:dk2>
      <a:lt2>
        <a:srgbClr val="F2F2F2"/>
      </a:lt2>
      <a:accent1>
        <a:srgbClr val="081D58"/>
      </a:accent1>
      <a:accent2>
        <a:srgbClr val="2D4BFF"/>
      </a:accent2>
      <a:accent3>
        <a:srgbClr val="00B0F0"/>
      </a:accent3>
      <a:accent4>
        <a:srgbClr val="D9D9D9"/>
      </a:accent4>
      <a:accent5>
        <a:srgbClr val="757575"/>
      </a:accent5>
      <a:accent6>
        <a:srgbClr val="E5F4FA"/>
      </a:accent6>
      <a:hlink>
        <a:srgbClr val="00B0F0"/>
      </a:hlink>
      <a:folHlink>
        <a:srgbClr val="757575"/>
      </a:folHlink>
    </a:clrScheme>
    <a:fontScheme name="my brand">
      <a:majorFont>
        <a:latin typeface="Garamond"/>
        <a:ea typeface="宋体"/>
        <a:cs typeface=""/>
      </a:majorFont>
      <a:minorFont>
        <a:latin typeface="等线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0"/>
  <sheetViews>
    <sheetView showGridLines="0" workbookViewId="0">
      <selection activeCell="C43" sqref="C43"/>
    </sheetView>
  </sheetViews>
  <sheetFormatPr defaultRowHeight="13.9" x14ac:dyDescent="0.4"/>
  <cols>
    <col min="1" max="1" width="3" customWidth="1"/>
    <col min="2" max="2" width="65.265625" customWidth="1"/>
    <col min="3" max="3" width="54.265625" customWidth="1"/>
    <col min="4" max="4" width="18.06640625" customWidth="1"/>
    <col min="5" max="5" width="20" customWidth="1"/>
  </cols>
  <sheetData>
    <row r="1" spans="1:32" ht="6" customHeight="1" x14ac:dyDescent="0.4">
      <c r="A1" s="54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</row>
    <row r="2" spans="1:32" ht="22.05" customHeight="1" x14ac:dyDescent="0.4">
      <c r="A2" s="54"/>
      <c r="B2" s="54"/>
      <c r="C2" s="1" t="s">
        <v>0</v>
      </c>
      <c r="D2" s="54"/>
      <c r="E2" s="54"/>
      <c r="F2" s="54"/>
      <c r="G2" s="54"/>
      <c r="H2" s="54"/>
      <c r="I2" s="1" t="s">
        <v>1</v>
      </c>
      <c r="J2" s="54"/>
      <c r="K2" s="54"/>
      <c r="L2" s="54"/>
      <c r="M2" s="54"/>
      <c r="N2" s="54"/>
      <c r="O2" s="54"/>
      <c r="P2" s="54"/>
      <c r="Q2" s="54"/>
      <c r="R2" s="1" t="s">
        <v>2</v>
      </c>
      <c r="S2" s="54"/>
      <c r="T2" s="54"/>
      <c r="U2" s="54"/>
      <c r="V2" s="54"/>
      <c r="W2" s="54"/>
      <c r="X2" s="54"/>
      <c r="Y2" s="54"/>
      <c r="Z2" s="54"/>
      <c r="AA2" s="1" t="s">
        <v>3</v>
      </c>
      <c r="AB2" s="54"/>
      <c r="AC2" s="54"/>
      <c r="AD2" s="54"/>
      <c r="AE2" s="54"/>
      <c r="AF2" s="54"/>
    </row>
    <row r="3" spans="1:32" ht="4.05" customHeight="1" x14ac:dyDescent="0.4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</row>
    <row r="4" spans="1:32" ht="34.049999999999997" customHeight="1" x14ac:dyDescent="0.85">
      <c r="A4" s="55"/>
      <c r="B4" s="2" t="s">
        <v>4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</row>
    <row r="5" spans="1:32" ht="16.05" customHeight="1" x14ac:dyDescent="0.4">
      <c r="A5" s="55"/>
      <c r="B5" s="3" t="s">
        <v>5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</row>
    <row r="6" spans="1:32" x14ac:dyDescent="0.4">
      <c r="A6" s="55"/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</row>
    <row r="7" spans="1:32" ht="8" customHeight="1" x14ac:dyDescent="0.4">
      <c r="A7" s="5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</row>
    <row r="8" spans="1:32" ht="22.05" customHeight="1" x14ac:dyDescent="0.5">
      <c r="A8" s="55"/>
      <c r="B8" s="50" t="s">
        <v>6</v>
      </c>
      <c r="C8" s="49"/>
      <c r="D8" s="49"/>
      <c r="E8" s="49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</row>
    <row r="9" spans="1:32" ht="15" customHeight="1" x14ac:dyDescent="0.4">
      <c r="A9" s="55"/>
      <c r="B9" s="4" t="s">
        <v>7</v>
      </c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</row>
    <row r="10" spans="1:32" ht="15" customHeight="1" x14ac:dyDescent="0.4">
      <c r="A10" s="55"/>
      <c r="B10" s="4" t="s">
        <v>8</v>
      </c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</row>
    <row r="11" spans="1:32" ht="15" customHeight="1" x14ac:dyDescent="0.4">
      <c r="A11" s="55"/>
      <c r="B11" s="4" t="s">
        <v>9</v>
      </c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</row>
    <row r="12" spans="1:32" x14ac:dyDescent="0.4">
      <c r="A12" s="55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</row>
    <row r="13" spans="1:32" ht="8" customHeight="1" x14ac:dyDescent="0.4">
      <c r="A13" s="55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</row>
    <row r="14" spans="1:32" ht="22.05" customHeight="1" x14ac:dyDescent="0.5">
      <c r="A14" s="55"/>
      <c r="B14" s="50" t="s">
        <v>10</v>
      </c>
      <c r="C14" s="49"/>
      <c r="D14" s="49"/>
      <c r="E14" s="49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</row>
    <row r="15" spans="1:32" ht="18" customHeight="1" x14ac:dyDescent="0.4">
      <c r="A15" s="55"/>
      <c r="B15" s="5" t="s">
        <v>11</v>
      </c>
      <c r="C15" s="6" t="s">
        <v>12</v>
      </c>
      <c r="D15" s="7" t="s">
        <v>13</v>
      </c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</row>
    <row r="16" spans="1:32" x14ac:dyDescent="0.4">
      <c r="A16" s="55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</row>
    <row r="17" spans="1:32" ht="18" customHeight="1" x14ac:dyDescent="0.4">
      <c r="A17" s="55"/>
      <c r="B17" s="8" t="s">
        <v>14</v>
      </c>
      <c r="C17" s="6" t="s">
        <v>15</v>
      </c>
      <c r="D17" s="7" t="s">
        <v>16</v>
      </c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</row>
    <row r="18" spans="1:32" x14ac:dyDescent="0.4">
      <c r="A18" s="55"/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</row>
    <row r="19" spans="1:32" ht="18" customHeight="1" x14ac:dyDescent="0.4">
      <c r="A19" s="55"/>
      <c r="B19" s="5" t="s">
        <v>17</v>
      </c>
      <c r="C19" s="6" t="s">
        <v>18</v>
      </c>
      <c r="D19" s="7" t="s">
        <v>19</v>
      </c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</row>
    <row r="20" spans="1:32" x14ac:dyDescent="0.4">
      <c r="A20" s="55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</row>
    <row r="21" spans="1:32" ht="18" customHeight="1" x14ac:dyDescent="0.4">
      <c r="A21" s="55"/>
      <c r="B21" s="8" t="s">
        <v>20</v>
      </c>
      <c r="C21" s="6" t="s">
        <v>21</v>
      </c>
      <c r="D21" s="7" t="s">
        <v>22</v>
      </c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</row>
    <row r="22" spans="1:32" x14ac:dyDescent="0.4">
      <c r="A22" s="55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</row>
    <row r="23" spans="1:32" x14ac:dyDescent="0.4">
      <c r="A23" s="55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</row>
    <row r="24" spans="1:32" ht="8" customHeight="1" x14ac:dyDescent="0.4">
      <c r="A24" s="55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</row>
    <row r="25" spans="1:32" ht="22.05" customHeight="1" x14ac:dyDescent="0.5">
      <c r="A25" s="55"/>
      <c r="B25" s="50" t="s">
        <v>23</v>
      </c>
      <c r="C25" s="49"/>
      <c r="D25" s="49"/>
      <c r="E25" s="49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</row>
    <row r="26" spans="1:32" ht="15" customHeight="1" x14ac:dyDescent="0.4">
      <c r="A26" s="55"/>
      <c r="B26" s="4" t="s">
        <v>24</v>
      </c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</row>
    <row r="27" spans="1:32" ht="15" customHeight="1" x14ac:dyDescent="0.4">
      <c r="A27" s="55"/>
      <c r="B27" s="4" t="s">
        <v>25</v>
      </c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</row>
    <row r="28" spans="1:32" ht="15" customHeight="1" x14ac:dyDescent="0.4">
      <c r="A28" s="55"/>
      <c r="B28" s="4" t="s">
        <v>26</v>
      </c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</row>
    <row r="29" spans="1:32" ht="15" customHeight="1" x14ac:dyDescent="0.4">
      <c r="A29" s="55"/>
      <c r="B29" s="4" t="s">
        <v>27</v>
      </c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</row>
    <row r="30" spans="1:32" ht="15" customHeight="1" x14ac:dyDescent="0.4">
      <c r="A30" s="55"/>
      <c r="B30" s="4" t="s">
        <v>28</v>
      </c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</row>
    <row r="31" spans="1:32" x14ac:dyDescent="0.4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</row>
    <row r="32" spans="1:32" ht="8" customHeight="1" x14ac:dyDescent="0.4">
      <c r="A32" s="55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</row>
    <row r="33" spans="1:32" ht="22.05" customHeight="1" x14ac:dyDescent="0.5">
      <c r="A33" s="55"/>
      <c r="B33" s="50" t="s">
        <v>29</v>
      </c>
      <c r="C33" s="49"/>
      <c r="D33" s="49"/>
      <c r="E33" s="49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</row>
    <row r="34" spans="1:32" ht="15" customHeight="1" x14ac:dyDescent="0.4">
      <c r="A34" s="55"/>
      <c r="B34" s="6" t="s">
        <v>30</v>
      </c>
      <c r="C34" s="9" t="s">
        <v>31</v>
      </c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</row>
    <row r="35" spans="1:32" ht="15" customHeight="1" x14ac:dyDescent="0.4">
      <c r="A35" s="55"/>
      <c r="B35" s="6" t="s">
        <v>32</v>
      </c>
      <c r="C35" s="9" t="s">
        <v>31</v>
      </c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</row>
    <row r="36" spans="1:32" ht="15" customHeight="1" x14ac:dyDescent="0.4">
      <c r="A36" s="55"/>
      <c r="B36" s="6" t="s">
        <v>33</v>
      </c>
      <c r="C36" s="9" t="s">
        <v>31</v>
      </c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</row>
    <row r="37" spans="1:32" ht="15" customHeight="1" x14ac:dyDescent="0.4">
      <c r="A37" s="55"/>
      <c r="B37" s="6" t="s">
        <v>34</v>
      </c>
      <c r="C37" s="9" t="s">
        <v>31</v>
      </c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</row>
    <row r="38" spans="1:32" ht="15" customHeight="1" x14ac:dyDescent="0.4">
      <c r="A38" s="55"/>
      <c r="B38" s="6" t="s">
        <v>35</v>
      </c>
      <c r="C38" s="9" t="s">
        <v>31</v>
      </c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</row>
    <row r="39" spans="1:32" ht="15" customHeight="1" x14ac:dyDescent="0.4">
      <c r="A39" s="55"/>
      <c r="B39" s="6" t="s">
        <v>36</v>
      </c>
      <c r="C39" s="10" t="s">
        <v>37</v>
      </c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</row>
    <row r="40" spans="1:32" ht="15" customHeight="1" x14ac:dyDescent="0.4">
      <c r="A40" s="55"/>
      <c r="B40" s="6" t="s">
        <v>38</v>
      </c>
      <c r="C40" s="10" t="s">
        <v>39</v>
      </c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</row>
    <row r="41" spans="1:32" ht="15" customHeight="1" x14ac:dyDescent="0.4">
      <c r="A41" s="55"/>
      <c r="B41" s="6" t="s">
        <v>40</v>
      </c>
      <c r="C41" s="10" t="s">
        <v>39</v>
      </c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</row>
    <row r="42" spans="1:32" ht="15" customHeight="1" x14ac:dyDescent="0.4">
      <c r="A42" s="55"/>
      <c r="B42" s="6" t="s">
        <v>41</v>
      </c>
      <c r="C42" s="10" t="s">
        <v>42</v>
      </c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</row>
    <row r="43" spans="1:32" x14ac:dyDescent="0.4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</row>
    <row r="44" spans="1:32" x14ac:dyDescent="0.4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</row>
    <row r="45" spans="1:32" x14ac:dyDescent="0.4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</row>
    <row r="46" spans="1:32" x14ac:dyDescent="0.4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</row>
    <row r="47" spans="1:32" x14ac:dyDescent="0.4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</row>
    <row r="48" spans="1:32" x14ac:dyDescent="0.4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</row>
    <row r="49" spans="1:32" x14ac:dyDescent="0.4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</row>
    <row r="50" spans="1:32" x14ac:dyDescent="0.4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</row>
    <row r="51" spans="1:32" x14ac:dyDescent="0.4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</row>
    <row r="52" spans="1:32" x14ac:dyDescent="0.4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</row>
    <row r="53" spans="1:32" x14ac:dyDescent="0.4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</row>
    <row r="54" spans="1:32" x14ac:dyDescent="0.4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</row>
    <row r="55" spans="1:32" x14ac:dyDescent="0.4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</row>
    <row r="56" spans="1:32" x14ac:dyDescent="0.4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</row>
    <row r="57" spans="1:32" x14ac:dyDescent="0.4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</row>
    <row r="58" spans="1:32" x14ac:dyDescent="0.4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</row>
    <row r="59" spans="1:32" x14ac:dyDescent="0.4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</row>
    <row r="60" spans="1:32" x14ac:dyDescent="0.4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</row>
  </sheetData>
  <mergeCells count="4">
    <mergeCell ref="B33:E33"/>
    <mergeCell ref="B25:E25"/>
    <mergeCell ref="B8:E8"/>
    <mergeCell ref="B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45"/>
  <sheetViews>
    <sheetView showGridLines="0" workbookViewId="0">
      <selection activeCell="D22" sqref="D22"/>
    </sheetView>
  </sheetViews>
  <sheetFormatPr defaultRowHeight="13.9" x14ac:dyDescent="0.4"/>
  <cols>
    <col min="1" max="1" width="3" customWidth="1"/>
    <col min="2" max="2" width="58.53125" customWidth="1"/>
    <col min="3" max="3" width="10.73046875" customWidth="1"/>
    <col min="4" max="4" width="26.53125" customWidth="1"/>
    <col min="5" max="5" width="10.59765625" customWidth="1"/>
    <col min="6" max="6" width="13.3984375" customWidth="1"/>
    <col min="7" max="7" width="22" customWidth="1"/>
    <col min="9" max="9" width="18.73046875" customWidth="1"/>
    <col min="18" max="18" width="18.59765625" customWidth="1"/>
  </cols>
  <sheetData>
    <row r="1" spans="1:30" ht="6" customHeight="1" x14ac:dyDescent="0.4">
      <c r="A1" s="54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</row>
    <row r="2" spans="1:30" ht="22.05" customHeight="1" x14ac:dyDescent="0.4">
      <c r="A2" s="54"/>
      <c r="B2" s="54"/>
      <c r="C2" s="11" t="s">
        <v>0</v>
      </c>
      <c r="D2" s="54"/>
      <c r="E2" s="54"/>
      <c r="F2" s="54"/>
      <c r="G2" s="54"/>
      <c r="H2" s="54"/>
      <c r="I2" s="1" t="s">
        <v>1</v>
      </c>
      <c r="J2" s="54"/>
      <c r="K2" s="54"/>
      <c r="L2" s="54"/>
      <c r="M2" s="54"/>
      <c r="N2" s="54"/>
      <c r="O2" s="54"/>
      <c r="P2" s="54"/>
      <c r="Q2" s="54"/>
      <c r="R2" s="1" t="s">
        <v>2</v>
      </c>
      <c r="S2" s="54"/>
      <c r="T2" s="54"/>
      <c r="U2" s="54"/>
      <c r="V2" s="54"/>
      <c r="W2" s="54"/>
      <c r="X2" s="54"/>
      <c r="Y2" s="54"/>
      <c r="Z2" s="54"/>
      <c r="AA2" s="1" t="s">
        <v>3</v>
      </c>
      <c r="AB2" s="54"/>
      <c r="AC2" s="54"/>
      <c r="AD2" s="54"/>
    </row>
    <row r="3" spans="1:30" ht="4.05" customHeight="1" x14ac:dyDescent="0.4">
      <c r="A3" s="54"/>
      <c r="B3" s="54"/>
      <c r="C3" s="56"/>
      <c r="D3" s="56"/>
      <c r="E3" s="56"/>
      <c r="F3" s="56"/>
      <c r="G3" s="56"/>
      <c r="H3" s="56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</row>
    <row r="4" spans="1:30" ht="34.049999999999997" customHeight="1" x14ac:dyDescent="0.85">
      <c r="A4" s="55"/>
      <c r="B4" s="2" t="s">
        <v>43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</row>
    <row r="5" spans="1:30" ht="16.05" customHeight="1" x14ac:dyDescent="0.4">
      <c r="A5" s="55"/>
      <c r="B5" s="3" t="s">
        <v>44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</row>
    <row r="6" spans="1:30" x14ac:dyDescent="0.4">
      <c r="A6" s="55"/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</row>
    <row r="7" spans="1:30" ht="8" customHeight="1" x14ac:dyDescent="0.4">
      <c r="A7" s="5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</row>
    <row r="8" spans="1:30" ht="22.05" customHeight="1" x14ac:dyDescent="0.5">
      <c r="A8" s="55"/>
      <c r="B8" s="50" t="s">
        <v>45</v>
      </c>
      <c r="C8" s="49"/>
      <c r="D8" s="49"/>
      <c r="E8" s="49"/>
      <c r="F8" s="49"/>
      <c r="G8" s="49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</row>
    <row r="9" spans="1:30" ht="16.05" customHeight="1" x14ac:dyDescent="0.4">
      <c r="A9" s="55"/>
      <c r="B9" s="12" t="s">
        <v>46</v>
      </c>
      <c r="C9" s="55"/>
      <c r="D9" s="13">
        <v>4</v>
      </c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</row>
    <row r="10" spans="1:30" ht="14" customHeight="1" x14ac:dyDescent="0.4">
      <c r="A10" s="55"/>
      <c r="B10" s="55"/>
      <c r="C10" s="55"/>
      <c r="D10" s="14" t="str">
        <f>IF(D9=1,"Outright — Acquisition + Resale",IF(D9=2,"Light Refurb — Acquisition + Subdivision + Resale",IF(D9=3,"Full Development — Acquisition + Construction + Sale",IF(D9=4,"Buy-to-Rent — Acquisition + Rental + Refinance / Exit","Joint Venture — Asymmetric Partner Framework (Phase 2)"))))</f>
        <v>Buy-to-Rent — Acquisition + Rental + Refinance / Exit</v>
      </c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</row>
    <row r="11" spans="1:30" x14ac:dyDescent="0.4">
      <c r="A11" s="55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</row>
    <row r="12" spans="1:30" ht="8" customHeight="1" x14ac:dyDescent="0.4">
      <c r="A12" s="55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</row>
    <row r="13" spans="1:30" ht="22.05" customHeight="1" x14ac:dyDescent="0.5">
      <c r="A13" s="55"/>
      <c r="B13" s="50" t="s">
        <v>47</v>
      </c>
      <c r="C13" s="49"/>
      <c r="D13" s="49"/>
      <c r="E13" s="49"/>
      <c r="F13" s="49"/>
      <c r="G13" s="49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</row>
    <row r="14" spans="1:30" ht="24" customHeight="1" x14ac:dyDescent="0.4">
      <c r="A14" s="55"/>
      <c r="B14" s="15" t="s">
        <v>48</v>
      </c>
      <c r="C14" s="55"/>
      <c r="D14" s="16" t="s">
        <v>49</v>
      </c>
      <c r="E14" s="16" t="s">
        <v>50</v>
      </c>
      <c r="F14" s="16" t="s">
        <v>51</v>
      </c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</row>
    <row r="15" spans="1:30" ht="16.05" customHeight="1" x14ac:dyDescent="0.4">
      <c r="A15" s="55"/>
      <c r="B15" s="12" t="s">
        <v>52</v>
      </c>
      <c r="C15" s="55"/>
      <c r="D15" s="17">
        <v>1</v>
      </c>
      <c r="E15" s="17">
        <v>0.9</v>
      </c>
      <c r="F15" s="17">
        <v>1.2</v>
      </c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</row>
    <row r="16" spans="1:30" ht="16.05" customHeight="1" x14ac:dyDescent="0.4">
      <c r="A16" s="55"/>
      <c r="B16" s="18" t="s">
        <v>53</v>
      </c>
      <c r="C16" s="57"/>
      <c r="D16" s="17">
        <v>1</v>
      </c>
      <c r="E16" s="17">
        <v>1.1000000000000001</v>
      </c>
      <c r="F16" s="17">
        <v>0.85</v>
      </c>
      <c r="G16" s="57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</row>
    <row r="17" spans="1:30" ht="16.05" customHeight="1" x14ac:dyDescent="0.4">
      <c r="A17" s="55"/>
      <c r="B17" s="12" t="s">
        <v>54</v>
      </c>
      <c r="C17" s="55"/>
      <c r="D17" s="19">
        <v>0</v>
      </c>
      <c r="E17" s="19">
        <v>-5.0000000000000001E-3</v>
      </c>
      <c r="F17" s="19">
        <v>0.01</v>
      </c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</row>
    <row r="18" spans="1:30" ht="16.05" customHeight="1" x14ac:dyDescent="0.4">
      <c r="A18" s="55"/>
      <c r="B18" s="18" t="s">
        <v>55</v>
      </c>
      <c r="C18" s="57"/>
      <c r="D18" s="17">
        <v>1</v>
      </c>
      <c r="E18" s="17">
        <v>1.1000000000000001</v>
      </c>
      <c r="F18" s="17">
        <v>0.85</v>
      </c>
      <c r="G18" s="57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</row>
    <row r="19" spans="1:30" x14ac:dyDescent="0.4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</row>
    <row r="20" spans="1:30" ht="8" customHeight="1" x14ac:dyDescent="0.4">
      <c r="A20" s="55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</row>
    <row r="21" spans="1:30" ht="22.05" customHeight="1" x14ac:dyDescent="0.5">
      <c r="A21" s="55"/>
      <c r="B21" s="50" t="s">
        <v>56</v>
      </c>
      <c r="C21" s="49"/>
      <c r="D21" s="49"/>
      <c r="E21" s="49"/>
      <c r="F21" s="49"/>
      <c r="G21" s="49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</row>
    <row r="22" spans="1:30" ht="18" customHeight="1" x14ac:dyDescent="0.4">
      <c r="A22" s="55"/>
      <c r="B22" s="20" t="s">
        <v>57</v>
      </c>
      <c r="C22" s="55"/>
      <c r="D22" s="21">
        <v>2</v>
      </c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</row>
    <row r="23" spans="1:30" ht="14" customHeight="1" x14ac:dyDescent="0.4">
      <c r="A23" s="55"/>
      <c r="B23" s="55"/>
      <c r="C23" s="55"/>
      <c r="D23" s="22" t="str">
        <f>IF(D22=1,"▶  BASE CASE",IF(D22=2,"▶  UPSIDE CASE","▶  DOWNSIDE CASE"))</f>
        <v>▶  UPSIDE CASE</v>
      </c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</row>
    <row r="24" spans="1:30" x14ac:dyDescent="0.4">
      <c r="A24" s="55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</row>
    <row r="25" spans="1:30" ht="8" customHeight="1" x14ac:dyDescent="0.4">
      <c r="A25" s="55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</row>
    <row r="26" spans="1:30" ht="22.05" customHeight="1" x14ac:dyDescent="0.5">
      <c r="A26" s="55"/>
      <c r="B26" s="50" t="s">
        <v>58</v>
      </c>
      <c r="C26" s="49"/>
      <c r="D26" s="49"/>
      <c r="E26" s="49"/>
      <c r="F26" s="49"/>
      <c r="G26" s="49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</row>
    <row r="27" spans="1:30" ht="16.05" customHeight="1" x14ac:dyDescent="0.4">
      <c r="A27" s="55"/>
      <c r="B27" s="12" t="s">
        <v>59</v>
      </c>
      <c r="C27" s="55"/>
      <c r="D27" s="23" cm="1">
        <f t="array" ref="D27">INDEX($D$15:$F$18,1,$D$22)</f>
        <v>0.9</v>
      </c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</row>
    <row r="28" spans="1:30" ht="16.05" customHeight="1" x14ac:dyDescent="0.4">
      <c r="A28" s="55"/>
      <c r="B28" s="12" t="s">
        <v>60</v>
      </c>
      <c r="C28" s="55"/>
      <c r="D28" s="23" cm="1">
        <f t="array" ref="D28">INDEX($D$15:$F$18,2,$D$22)</f>
        <v>1.1000000000000001</v>
      </c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</row>
    <row r="29" spans="1:30" ht="16.05" customHeight="1" x14ac:dyDescent="0.4">
      <c r="A29" s="55"/>
      <c r="B29" s="12" t="s">
        <v>61</v>
      </c>
      <c r="C29" s="55"/>
      <c r="D29" s="24" cm="1">
        <f t="array" ref="D29">INDEX($D$15:$F$18,3,$D$22)</f>
        <v>-5.0000000000000001E-3</v>
      </c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</row>
    <row r="30" spans="1:30" ht="16.05" customHeight="1" x14ac:dyDescent="0.4">
      <c r="A30" s="55"/>
      <c r="B30" s="12" t="s">
        <v>62</v>
      </c>
      <c r="C30" s="55"/>
      <c r="D30" s="23" cm="1">
        <f t="array" ref="D30">INDEX($D$15:$F$18,4,$D$22)</f>
        <v>1.1000000000000001</v>
      </c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</row>
    <row r="31" spans="1:30" x14ac:dyDescent="0.4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</row>
    <row r="32" spans="1:30" x14ac:dyDescent="0.4">
      <c r="A32" s="55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</row>
    <row r="33" spans="1:30" x14ac:dyDescent="0.4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</row>
    <row r="34" spans="1:30" x14ac:dyDescent="0.4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</row>
    <row r="35" spans="1:30" x14ac:dyDescent="0.4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</row>
    <row r="36" spans="1:30" x14ac:dyDescent="0.4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</row>
    <row r="37" spans="1:30" x14ac:dyDescent="0.4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</row>
    <row r="38" spans="1:30" x14ac:dyDescent="0.4">
      <c r="A38" s="55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</row>
    <row r="39" spans="1:30" x14ac:dyDescent="0.4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</row>
    <row r="40" spans="1:30" x14ac:dyDescent="0.4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</row>
    <row r="41" spans="1:30" x14ac:dyDescent="0.4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</row>
    <row r="42" spans="1:30" x14ac:dyDescent="0.4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</row>
    <row r="43" spans="1:30" x14ac:dyDescent="0.4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</row>
    <row r="44" spans="1:30" x14ac:dyDescent="0.4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</row>
    <row r="45" spans="1:30" x14ac:dyDescent="0.4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</row>
  </sheetData>
  <mergeCells count="4">
    <mergeCell ref="B8:G8"/>
    <mergeCell ref="B21:G21"/>
    <mergeCell ref="B26:G26"/>
    <mergeCell ref="B13:G13"/>
  </mergeCells>
  <dataValidations count="2">
    <dataValidation type="list" showErrorMessage="1" errorTitle="Invalid" error="Enter 1-5: 1=Outright 2=Light Refurb 3=Full Dev 4=Buy-to-Rent 5=JV" sqref="D9" xr:uid="{00000000-0002-0000-0100-000000000000}">
      <formula1>"1,2,3,4,5"</formula1>
    </dataValidation>
    <dataValidation type="list" showErrorMessage="1" errorTitle="Invalid" error="Enter 1 (Base), 2 (Upside), or 3 (Downside)" sqref="D22" xr:uid="{00000000-0002-0000-0100-000001000000}">
      <formula1>"1,2,3"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51C2C"/>
  </sheetPr>
  <dimension ref="A1:DV60"/>
  <sheetViews>
    <sheetView showGridLines="0" workbookViewId="0">
      <pane xSplit="4" ySplit="7" topLeftCell="I8" activePane="bottomRight" state="frozen"/>
      <selection pane="topRight"/>
      <selection pane="bottomLeft"/>
      <selection pane="bottomRight" activeCell="B8" sqref="B8"/>
    </sheetView>
  </sheetViews>
  <sheetFormatPr defaultRowHeight="13.9" x14ac:dyDescent="0.4"/>
  <cols>
    <col min="1" max="1" width="3" customWidth="1"/>
    <col min="2" max="2" width="72.46484375" customWidth="1"/>
    <col min="3" max="3" width="10.59765625" customWidth="1"/>
    <col min="4" max="4" width="27.73046875" customWidth="1"/>
    <col min="5" max="5" width="49.53125" customWidth="1"/>
    <col min="6" max="8" width="3.1328125" customWidth="1"/>
    <col min="9" max="9" width="19.9296875" customWidth="1"/>
    <col min="10" max="17" width="3.1328125" customWidth="1"/>
    <col min="18" max="18" width="18.59765625" customWidth="1"/>
    <col min="19" max="26" width="3.1328125" customWidth="1"/>
    <col min="27" max="27" width="17.53125" customWidth="1"/>
    <col min="28" max="41" width="3.1328125" customWidth="1"/>
    <col min="42" max="124" width="4.796875" customWidth="1"/>
  </cols>
  <sheetData>
    <row r="1" spans="1:126" ht="6" customHeight="1" x14ac:dyDescent="0.4">
      <c r="A1" s="54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4"/>
      <c r="BF1" s="54"/>
      <c r="BG1" s="54"/>
      <c r="BH1" s="54"/>
      <c r="BI1" s="54"/>
      <c r="BJ1" s="54"/>
      <c r="BK1" s="54"/>
      <c r="BL1" s="54"/>
      <c r="BM1" s="54"/>
      <c r="BN1" s="54"/>
      <c r="BO1" s="54"/>
      <c r="BP1" s="54"/>
      <c r="BQ1" s="54"/>
      <c r="BR1" s="54"/>
      <c r="BS1" s="54"/>
      <c r="BT1" s="54"/>
      <c r="BU1" s="54"/>
      <c r="BV1" s="54"/>
      <c r="BW1" s="54"/>
      <c r="BX1" s="54"/>
      <c r="BY1" s="54"/>
      <c r="BZ1" s="54"/>
      <c r="CA1" s="54"/>
      <c r="CB1" s="54"/>
      <c r="CC1" s="54"/>
      <c r="CD1" s="54"/>
      <c r="CE1" s="54"/>
      <c r="CF1" s="54"/>
      <c r="CG1" s="54"/>
      <c r="CH1" s="54"/>
      <c r="CI1" s="54"/>
      <c r="CJ1" s="54"/>
      <c r="CK1" s="54"/>
      <c r="CL1" s="54"/>
      <c r="CM1" s="54"/>
      <c r="CN1" s="54"/>
      <c r="CO1" s="54"/>
      <c r="CP1" s="54"/>
      <c r="CQ1" s="54"/>
      <c r="CR1" s="54"/>
      <c r="CS1" s="54"/>
      <c r="CT1" s="54"/>
      <c r="CU1" s="54"/>
      <c r="CV1" s="54"/>
      <c r="CW1" s="54"/>
      <c r="CX1" s="54"/>
      <c r="CY1" s="54"/>
      <c r="CZ1" s="54"/>
      <c r="DA1" s="54"/>
      <c r="DB1" s="54"/>
      <c r="DC1" s="54"/>
      <c r="DD1" s="54"/>
      <c r="DE1" s="54"/>
      <c r="DF1" s="54"/>
      <c r="DG1" s="54"/>
      <c r="DH1" s="54"/>
      <c r="DI1" s="54"/>
      <c r="DJ1" s="54"/>
      <c r="DK1" s="54"/>
      <c r="DL1" s="54"/>
      <c r="DM1" s="54"/>
      <c r="DN1" s="54"/>
      <c r="DO1" s="54"/>
      <c r="DP1" s="54"/>
      <c r="DQ1" s="54"/>
      <c r="DR1" s="54"/>
      <c r="DS1" s="54"/>
      <c r="DT1" s="54"/>
      <c r="DU1" s="54"/>
      <c r="DV1" s="54"/>
    </row>
    <row r="2" spans="1:126" ht="22.05" customHeight="1" x14ac:dyDescent="0.4">
      <c r="A2" s="54"/>
      <c r="B2" s="54"/>
      <c r="C2" s="1" t="s">
        <v>0</v>
      </c>
      <c r="D2" s="54"/>
      <c r="E2" s="54"/>
      <c r="F2" s="54"/>
      <c r="G2" s="54"/>
      <c r="H2" s="54"/>
      <c r="I2" s="11" t="s">
        <v>1</v>
      </c>
      <c r="J2" s="54"/>
      <c r="K2" s="54"/>
      <c r="L2" s="54"/>
      <c r="M2" s="54"/>
      <c r="N2" s="54"/>
      <c r="O2" s="54"/>
      <c r="P2" s="54"/>
      <c r="Q2" s="54"/>
      <c r="R2" s="1" t="s">
        <v>2</v>
      </c>
      <c r="S2" s="54"/>
      <c r="T2" s="54"/>
      <c r="U2" s="54"/>
      <c r="V2" s="54"/>
      <c r="W2" s="54"/>
      <c r="X2" s="54"/>
      <c r="Y2" s="54"/>
      <c r="Z2" s="54"/>
      <c r="AA2" s="1" t="s">
        <v>3</v>
      </c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4"/>
      <c r="AU2" s="54"/>
      <c r="AV2" s="54"/>
      <c r="AW2" s="54"/>
      <c r="AX2" s="54"/>
      <c r="AY2" s="54"/>
      <c r="AZ2" s="54"/>
      <c r="BA2" s="54"/>
      <c r="BB2" s="54"/>
      <c r="BC2" s="54"/>
      <c r="BD2" s="54"/>
      <c r="BE2" s="54"/>
      <c r="BF2" s="54"/>
      <c r="BG2" s="54"/>
      <c r="BH2" s="54"/>
      <c r="BI2" s="54"/>
      <c r="BJ2" s="54"/>
      <c r="BK2" s="54"/>
      <c r="BL2" s="54"/>
      <c r="BM2" s="54"/>
      <c r="BN2" s="54"/>
      <c r="BO2" s="54"/>
      <c r="BP2" s="54"/>
      <c r="BQ2" s="54"/>
      <c r="BR2" s="54"/>
      <c r="BS2" s="54"/>
      <c r="BT2" s="54"/>
      <c r="BU2" s="54"/>
      <c r="BV2" s="54"/>
      <c r="BW2" s="54"/>
      <c r="BX2" s="54"/>
      <c r="BY2" s="54"/>
      <c r="BZ2" s="54"/>
      <c r="CA2" s="54"/>
      <c r="CB2" s="54"/>
      <c r="CC2" s="54"/>
      <c r="CD2" s="54"/>
      <c r="CE2" s="54"/>
      <c r="CF2" s="54"/>
      <c r="CG2" s="54"/>
      <c r="CH2" s="54"/>
      <c r="CI2" s="54"/>
      <c r="CJ2" s="54"/>
      <c r="CK2" s="54"/>
      <c r="CL2" s="54"/>
      <c r="CM2" s="54"/>
      <c r="CN2" s="54"/>
      <c r="CO2" s="54"/>
      <c r="CP2" s="54"/>
      <c r="CQ2" s="54"/>
      <c r="CR2" s="54"/>
      <c r="CS2" s="54"/>
      <c r="CT2" s="54"/>
      <c r="CU2" s="54"/>
      <c r="CV2" s="54"/>
      <c r="CW2" s="54"/>
      <c r="CX2" s="54"/>
      <c r="CY2" s="54"/>
      <c r="CZ2" s="54"/>
      <c r="DA2" s="54"/>
      <c r="DB2" s="54"/>
      <c r="DC2" s="54"/>
      <c r="DD2" s="54"/>
      <c r="DE2" s="54"/>
      <c r="DF2" s="54"/>
      <c r="DG2" s="54"/>
      <c r="DH2" s="54"/>
      <c r="DI2" s="54"/>
      <c r="DJ2" s="54"/>
      <c r="DK2" s="54"/>
      <c r="DL2" s="54"/>
      <c r="DM2" s="54"/>
      <c r="DN2" s="54"/>
      <c r="DO2" s="54"/>
      <c r="DP2" s="54"/>
      <c r="DQ2" s="54"/>
      <c r="DR2" s="54"/>
      <c r="DS2" s="54"/>
      <c r="DT2" s="54"/>
      <c r="DU2" s="54"/>
      <c r="DV2" s="54"/>
    </row>
    <row r="3" spans="1:126" ht="4.05" customHeight="1" x14ac:dyDescent="0.4">
      <c r="A3" s="54"/>
      <c r="B3" s="54"/>
      <c r="C3" s="54"/>
      <c r="D3" s="54"/>
      <c r="E3" s="54"/>
      <c r="F3" s="54"/>
      <c r="G3" s="54"/>
      <c r="H3" s="54"/>
      <c r="I3" s="56"/>
      <c r="J3" s="56"/>
      <c r="K3" s="56"/>
      <c r="L3" s="56"/>
      <c r="M3" s="56"/>
      <c r="N3" s="56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/>
      <c r="AS3" s="54"/>
      <c r="AT3" s="54"/>
      <c r="AU3" s="54"/>
      <c r="AV3" s="54"/>
      <c r="AW3" s="54"/>
      <c r="AX3" s="54"/>
      <c r="AY3" s="54"/>
      <c r="AZ3" s="54"/>
      <c r="BA3" s="54"/>
      <c r="BB3" s="54"/>
      <c r="BC3" s="54"/>
      <c r="BD3" s="54"/>
      <c r="BE3" s="54"/>
      <c r="BF3" s="54"/>
      <c r="BG3" s="54"/>
      <c r="BH3" s="54"/>
      <c r="BI3" s="54"/>
      <c r="BJ3" s="54"/>
      <c r="BK3" s="54"/>
      <c r="BL3" s="54"/>
      <c r="BM3" s="54"/>
      <c r="BN3" s="54"/>
      <c r="BO3" s="54"/>
      <c r="BP3" s="54"/>
      <c r="BQ3" s="54"/>
      <c r="BR3" s="54"/>
      <c r="BS3" s="54"/>
      <c r="BT3" s="54"/>
      <c r="BU3" s="54"/>
      <c r="BV3" s="54"/>
      <c r="BW3" s="54"/>
      <c r="BX3" s="54"/>
      <c r="BY3" s="54"/>
      <c r="BZ3" s="54"/>
      <c r="CA3" s="54"/>
      <c r="CB3" s="54"/>
      <c r="CC3" s="54"/>
      <c r="CD3" s="54"/>
      <c r="CE3" s="54"/>
      <c r="CF3" s="54"/>
      <c r="CG3" s="54"/>
      <c r="CH3" s="54"/>
      <c r="CI3" s="54"/>
      <c r="CJ3" s="54"/>
      <c r="CK3" s="54"/>
      <c r="CL3" s="54"/>
      <c r="CM3" s="54"/>
      <c r="CN3" s="54"/>
      <c r="CO3" s="54"/>
      <c r="CP3" s="54"/>
      <c r="CQ3" s="54"/>
      <c r="CR3" s="54"/>
      <c r="CS3" s="54"/>
      <c r="CT3" s="54"/>
      <c r="CU3" s="54"/>
      <c r="CV3" s="54"/>
      <c r="CW3" s="54"/>
      <c r="CX3" s="54"/>
      <c r="CY3" s="54"/>
      <c r="CZ3" s="54"/>
      <c r="DA3" s="54"/>
      <c r="DB3" s="54"/>
      <c r="DC3" s="54"/>
      <c r="DD3" s="54"/>
      <c r="DE3" s="54"/>
      <c r="DF3" s="54"/>
      <c r="DG3" s="54"/>
      <c r="DH3" s="54"/>
      <c r="DI3" s="54"/>
      <c r="DJ3" s="54"/>
      <c r="DK3" s="54"/>
      <c r="DL3" s="54"/>
      <c r="DM3" s="54"/>
      <c r="DN3" s="54"/>
      <c r="DO3" s="54"/>
      <c r="DP3" s="54"/>
      <c r="DQ3" s="54"/>
      <c r="DR3" s="54"/>
      <c r="DS3" s="54"/>
      <c r="DT3" s="54"/>
      <c r="DU3" s="54"/>
      <c r="DV3" s="54"/>
    </row>
    <row r="4" spans="1:126" ht="34.049999999999997" customHeight="1" x14ac:dyDescent="0.85">
      <c r="A4" s="55"/>
      <c r="B4" s="2" t="s">
        <v>63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55"/>
      <c r="BC4" s="55"/>
      <c r="BD4" s="55"/>
      <c r="BE4" s="55"/>
      <c r="BF4" s="55"/>
      <c r="BG4" s="55"/>
      <c r="BH4" s="55"/>
      <c r="BI4" s="55"/>
      <c r="BJ4" s="55"/>
      <c r="BK4" s="55"/>
      <c r="BL4" s="55"/>
      <c r="BM4" s="55"/>
      <c r="BN4" s="55"/>
      <c r="BO4" s="55"/>
      <c r="BP4" s="55"/>
      <c r="BQ4" s="55"/>
      <c r="BR4" s="55"/>
      <c r="BS4" s="55"/>
      <c r="BT4" s="55"/>
      <c r="BU4" s="55"/>
      <c r="BV4" s="55"/>
      <c r="BW4" s="55"/>
      <c r="BX4" s="55"/>
      <c r="BY4" s="55"/>
      <c r="BZ4" s="55"/>
      <c r="CA4" s="55"/>
      <c r="CB4" s="55"/>
      <c r="CC4" s="55"/>
      <c r="CD4" s="55"/>
      <c r="CE4" s="55"/>
      <c r="CF4" s="55"/>
      <c r="CG4" s="55"/>
      <c r="CH4" s="55"/>
      <c r="CI4" s="55"/>
      <c r="CJ4" s="55"/>
      <c r="CK4" s="55"/>
      <c r="CL4" s="55"/>
      <c r="CM4" s="55"/>
      <c r="CN4" s="55"/>
      <c r="CO4" s="55"/>
      <c r="CP4" s="55"/>
      <c r="CQ4" s="55"/>
      <c r="CR4" s="55"/>
      <c r="CS4" s="55"/>
      <c r="CT4" s="55"/>
      <c r="CU4" s="55"/>
      <c r="CV4" s="55"/>
      <c r="CW4" s="55"/>
      <c r="CX4" s="55"/>
      <c r="CY4" s="55"/>
      <c r="CZ4" s="55"/>
      <c r="DA4" s="55"/>
      <c r="DB4" s="55"/>
      <c r="DC4" s="55"/>
      <c r="DD4" s="55"/>
      <c r="DE4" s="55"/>
      <c r="DF4" s="55"/>
      <c r="DG4" s="55"/>
      <c r="DH4" s="55"/>
      <c r="DI4" s="55"/>
      <c r="DJ4" s="55"/>
      <c r="DK4" s="55"/>
      <c r="DL4" s="55"/>
      <c r="DM4" s="55"/>
      <c r="DN4" s="55"/>
      <c r="DO4" s="55"/>
      <c r="DP4" s="55"/>
      <c r="DQ4" s="55"/>
      <c r="DR4" s="55"/>
      <c r="DS4" s="55"/>
      <c r="DT4" s="55"/>
      <c r="DU4" s="55"/>
      <c r="DV4" s="55"/>
    </row>
    <row r="5" spans="1:126" ht="16.05" customHeight="1" x14ac:dyDescent="0.4">
      <c r="A5" s="55"/>
      <c r="B5" s="3" t="s">
        <v>64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5"/>
      <c r="BC5" s="55"/>
      <c r="BD5" s="55"/>
      <c r="BE5" s="55"/>
      <c r="BF5" s="55"/>
      <c r="BG5" s="55"/>
      <c r="BH5" s="55"/>
      <c r="BI5" s="55"/>
      <c r="BJ5" s="55"/>
      <c r="BK5" s="55"/>
      <c r="BL5" s="55"/>
      <c r="BM5" s="55"/>
      <c r="BN5" s="55"/>
      <c r="BO5" s="55"/>
      <c r="BP5" s="55"/>
      <c r="BQ5" s="55"/>
      <c r="BR5" s="55"/>
      <c r="BS5" s="55"/>
      <c r="BT5" s="55"/>
      <c r="BU5" s="55"/>
      <c r="BV5" s="55"/>
      <c r="BW5" s="55"/>
      <c r="BX5" s="55"/>
      <c r="BY5" s="55"/>
      <c r="BZ5" s="55"/>
      <c r="CA5" s="55"/>
      <c r="CB5" s="55"/>
      <c r="CC5" s="55"/>
      <c r="CD5" s="55"/>
      <c r="CE5" s="55"/>
      <c r="CF5" s="55"/>
      <c r="CG5" s="55"/>
      <c r="CH5" s="55"/>
      <c r="CI5" s="55"/>
      <c r="CJ5" s="55"/>
      <c r="CK5" s="55"/>
      <c r="CL5" s="55"/>
      <c r="CM5" s="55"/>
      <c r="CN5" s="55"/>
      <c r="CO5" s="55"/>
      <c r="CP5" s="55"/>
      <c r="CQ5" s="55"/>
      <c r="CR5" s="55"/>
      <c r="CS5" s="55"/>
      <c r="CT5" s="55"/>
      <c r="CU5" s="55"/>
      <c r="CV5" s="55"/>
      <c r="CW5" s="55"/>
      <c r="CX5" s="55"/>
      <c r="CY5" s="55"/>
      <c r="CZ5" s="55"/>
      <c r="DA5" s="55"/>
      <c r="DB5" s="55"/>
      <c r="DC5" s="55"/>
      <c r="DD5" s="55"/>
      <c r="DE5" s="55"/>
      <c r="DF5" s="55"/>
      <c r="DG5" s="55"/>
      <c r="DH5" s="55"/>
      <c r="DI5" s="55"/>
      <c r="DJ5" s="55"/>
      <c r="DK5" s="55"/>
      <c r="DL5" s="55"/>
      <c r="DM5" s="55"/>
      <c r="DN5" s="55"/>
      <c r="DO5" s="55"/>
      <c r="DP5" s="55"/>
      <c r="DQ5" s="55"/>
      <c r="DR5" s="55"/>
      <c r="DS5" s="55"/>
      <c r="DT5" s="55"/>
      <c r="DU5" s="55"/>
      <c r="DV5" s="55"/>
    </row>
    <row r="6" spans="1:126" ht="8" customHeight="1" x14ac:dyDescent="0.4">
      <c r="A6" s="55"/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5"/>
      <c r="BF6" s="55"/>
      <c r="BG6" s="55"/>
      <c r="BH6" s="55"/>
      <c r="BI6" s="55"/>
      <c r="BJ6" s="55"/>
      <c r="BK6" s="55"/>
      <c r="BL6" s="55"/>
      <c r="BM6" s="55"/>
      <c r="BN6" s="55"/>
      <c r="BO6" s="55"/>
      <c r="BP6" s="55"/>
      <c r="BQ6" s="55"/>
      <c r="BR6" s="55"/>
      <c r="BS6" s="55"/>
      <c r="BT6" s="55"/>
      <c r="BU6" s="55"/>
      <c r="BV6" s="55"/>
      <c r="BW6" s="55"/>
      <c r="BX6" s="55"/>
      <c r="BY6" s="55"/>
      <c r="BZ6" s="55"/>
      <c r="CA6" s="55"/>
      <c r="CB6" s="55"/>
      <c r="CC6" s="55"/>
      <c r="CD6" s="55"/>
      <c r="CE6" s="55"/>
      <c r="CF6" s="55"/>
      <c r="CG6" s="55"/>
      <c r="CH6" s="55"/>
      <c r="CI6" s="55"/>
      <c r="CJ6" s="55"/>
      <c r="CK6" s="55"/>
      <c r="CL6" s="55"/>
      <c r="CM6" s="55"/>
      <c r="CN6" s="55"/>
      <c r="CO6" s="55"/>
      <c r="CP6" s="55"/>
      <c r="CQ6" s="55"/>
      <c r="CR6" s="55"/>
      <c r="CS6" s="55"/>
      <c r="CT6" s="55"/>
      <c r="CU6" s="55"/>
      <c r="CV6" s="55"/>
      <c r="CW6" s="55"/>
      <c r="CX6" s="55"/>
      <c r="CY6" s="55"/>
      <c r="CZ6" s="55"/>
      <c r="DA6" s="55"/>
      <c r="DB6" s="55"/>
      <c r="DC6" s="55"/>
      <c r="DD6" s="55"/>
      <c r="DE6" s="55"/>
      <c r="DF6" s="55"/>
      <c r="DG6" s="55"/>
      <c r="DH6" s="55"/>
      <c r="DI6" s="55"/>
      <c r="DJ6" s="55"/>
      <c r="DK6" s="55"/>
      <c r="DL6" s="55"/>
      <c r="DM6" s="55"/>
      <c r="DN6" s="55"/>
      <c r="DO6" s="55"/>
      <c r="DP6" s="55"/>
      <c r="DQ6" s="55"/>
      <c r="DR6" s="55"/>
      <c r="DS6" s="55"/>
      <c r="DT6" s="55"/>
      <c r="DU6" s="55"/>
      <c r="DV6" s="55"/>
    </row>
    <row r="7" spans="1:126" ht="22.05" customHeight="1" x14ac:dyDescent="0.5">
      <c r="A7" s="55"/>
      <c r="B7" s="50" t="s">
        <v>65</v>
      </c>
      <c r="C7" s="49"/>
      <c r="D7" s="49"/>
      <c r="E7" s="49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5"/>
      <c r="BF7" s="55"/>
      <c r="BG7" s="55"/>
      <c r="BH7" s="55"/>
      <c r="BI7" s="55"/>
      <c r="BJ7" s="55"/>
      <c r="BK7" s="55"/>
      <c r="BL7" s="55"/>
      <c r="BM7" s="55"/>
      <c r="BN7" s="55"/>
      <c r="BO7" s="55"/>
      <c r="BP7" s="55"/>
      <c r="BQ7" s="55"/>
      <c r="BR7" s="55"/>
      <c r="BS7" s="55"/>
      <c r="BT7" s="55"/>
      <c r="BU7" s="55"/>
      <c r="BV7" s="55"/>
      <c r="BW7" s="55"/>
      <c r="BX7" s="55"/>
      <c r="BY7" s="55"/>
      <c r="BZ7" s="55"/>
      <c r="CA7" s="55"/>
      <c r="CB7" s="55"/>
      <c r="CC7" s="55"/>
      <c r="CD7" s="55"/>
      <c r="CE7" s="55"/>
      <c r="CF7" s="55"/>
      <c r="CG7" s="55"/>
      <c r="CH7" s="55"/>
      <c r="CI7" s="55"/>
      <c r="CJ7" s="55"/>
      <c r="CK7" s="55"/>
      <c r="CL7" s="55"/>
      <c r="CM7" s="55"/>
      <c r="CN7" s="55"/>
      <c r="CO7" s="55"/>
      <c r="CP7" s="55"/>
      <c r="CQ7" s="55"/>
      <c r="CR7" s="55"/>
      <c r="CS7" s="55"/>
      <c r="CT7" s="55"/>
      <c r="CU7" s="55"/>
      <c r="CV7" s="55"/>
      <c r="CW7" s="55"/>
      <c r="CX7" s="55"/>
      <c r="CY7" s="55"/>
      <c r="CZ7" s="55"/>
      <c r="DA7" s="55"/>
      <c r="DB7" s="55"/>
      <c r="DC7" s="55"/>
      <c r="DD7" s="55"/>
      <c r="DE7" s="55"/>
      <c r="DF7" s="55"/>
      <c r="DG7" s="55"/>
      <c r="DH7" s="55"/>
      <c r="DI7" s="55"/>
      <c r="DJ7" s="55"/>
      <c r="DK7" s="55"/>
      <c r="DL7" s="55"/>
      <c r="DM7" s="55"/>
      <c r="DN7" s="55"/>
      <c r="DO7" s="55"/>
      <c r="DP7" s="55"/>
      <c r="DQ7" s="55"/>
      <c r="DR7" s="55"/>
      <c r="DS7" s="55"/>
      <c r="DT7" s="55"/>
      <c r="DU7" s="55"/>
      <c r="DV7" s="55"/>
    </row>
    <row r="8" spans="1:126" ht="16.05" customHeight="1" x14ac:dyDescent="0.4">
      <c r="A8" s="55"/>
      <c r="B8" s="12" t="s">
        <v>66</v>
      </c>
      <c r="C8" s="55"/>
      <c r="D8" s="25" t="s">
        <v>67</v>
      </c>
      <c r="E8" s="26" t="s">
        <v>68</v>
      </c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5"/>
      <c r="BT8" s="55"/>
      <c r="BU8" s="55"/>
      <c r="BV8" s="55"/>
      <c r="BW8" s="55"/>
      <c r="BX8" s="55"/>
      <c r="BY8" s="55"/>
      <c r="BZ8" s="55"/>
      <c r="CA8" s="55"/>
      <c r="CB8" s="55"/>
      <c r="CC8" s="55"/>
      <c r="CD8" s="55"/>
      <c r="CE8" s="55"/>
      <c r="CF8" s="55"/>
      <c r="CG8" s="55"/>
      <c r="CH8" s="55"/>
      <c r="CI8" s="55"/>
      <c r="CJ8" s="55"/>
      <c r="CK8" s="55"/>
      <c r="CL8" s="55"/>
      <c r="CM8" s="55"/>
      <c r="CN8" s="55"/>
      <c r="CO8" s="55"/>
      <c r="CP8" s="55"/>
      <c r="CQ8" s="55"/>
      <c r="CR8" s="55"/>
      <c r="CS8" s="55"/>
      <c r="CT8" s="55"/>
      <c r="CU8" s="55"/>
      <c r="CV8" s="55"/>
      <c r="CW8" s="55"/>
      <c r="CX8" s="55"/>
      <c r="CY8" s="55"/>
      <c r="CZ8" s="55"/>
      <c r="DA8" s="55"/>
      <c r="DB8" s="55"/>
      <c r="DC8" s="55"/>
      <c r="DD8" s="55"/>
      <c r="DE8" s="55"/>
      <c r="DF8" s="55"/>
      <c r="DG8" s="55"/>
      <c r="DH8" s="55"/>
      <c r="DI8" s="55"/>
      <c r="DJ8" s="55"/>
      <c r="DK8" s="55"/>
      <c r="DL8" s="55"/>
      <c r="DM8" s="55"/>
      <c r="DN8" s="55"/>
      <c r="DO8" s="55"/>
      <c r="DP8" s="55"/>
      <c r="DQ8" s="55"/>
      <c r="DR8" s="55"/>
      <c r="DS8" s="55"/>
      <c r="DT8" s="55"/>
      <c r="DU8" s="55"/>
      <c r="DV8" s="55"/>
    </row>
    <row r="9" spans="1:126" ht="16.05" customHeight="1" x14ac:dyDescent="0.4">
      <c r="A9" s="55"/>
      <c r="B9" s="12" t="s">
        <v>69</v>
      </c>
      <c r="C9" s="55"/>
      <c r="D9" s="27">
        <v>5000000</v>
      </c>
      <c r="E9" s="26" t="s">
        <v>70</v>
      </c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5"/>
      <c r="BK9" s="55"/>
      <c r="BL9" s="55"/>
      <c r="BM9" s="55"/>
      <c r="BN9" s="55"/>
      <c r="BO9" s="55"/>
      <c r="BP9" s="55"/>
      <c r="BQ9" s="55"/>
      <c r="BR9" s="55"/>
      <c r="BS9" s="55"/>
      <c r="BT9" s="55"/>
      <c r="BU9" s="55"/>
      <c r="BV9" s="55"/>
      <c r="BW9" s="55"/>
      <c r="BX9" s="55"/>
      <c r="BY9" s="55"/>
      <c r="BZ9" s="55"/>
      <c r="CA9" s="55"/>
      <c r="CB9" s="55"/>
      <c r="CC9" s="55"/>
      <c r="CD9" s="55"/>
      <c r="CE9" s="55"/>
      <c r="CF9" s="55"/>
      <c r="CG9" s="55"/>
      <c r="CH9" s="55"/>
      <c r="CI9" s="55"/>
      <c r="CJ9" s="55"/>
      <c r="CK9" s="55"/>
      <c r="CL9" s="55"/>
      <c r="CM9" s="55"/>
      <c r="CN9" s="55"/>
      <c r="CO9" s="55"/>
      <c r="CP9" s="55"/>
      <c r="CQ9" s="55"/>
      <c r="CR9" s="55"/>
      <c r="CS9" s="55"/>
      <c r="CT9" s="55"/>
      <c r="CU9" s="55"/>
      <c r="CV9" s="55"/>
      <c r="CW9" s="55"/>
      <c r="CX9" s="55"/>
      <c r="CY9" s="55"/>
      <c r="CZ9" s="55"/>
      <c r="DA9" s="55"/>
      <c r="DB9" s="55"/>
      <c r="DC9" s="55"/>
      <c r="DD9" s="55"/>
      <c r="DE9" s="55"/>
      <c r="DF9" s="55"/>
      <c r="DG9" s="55"/>
      <c r="DH9" s="55"/>
      <c r="DI9" s="55"/>
      <c r="DJ9" s="55"/>
      <c r="DK9" s="55"/>
      <c r="DL9" s="55"/>
      <c r="DM9" s="55"/>
      <c r="DN9" s="55"/>
      <c r="DO9" s="55"/>
      <c r="DP9" s="55"/>
      <c r="DQ9" s="55"/>
      <c r="DR9" s="55"/>
      <c r="DS9" s="55"/>
      <c r="DT9" s="55"/>
      <c r="DU9" s="55"/>
      <c r="DV9" s="55"/>
    </row>
    <row r="10" spans="1:126" ht="16.05" customHeight="1" x14ac:dyDescent="0.4">
      <c r="A10" s="55"/>
      <c r="B10" s="12" t="s">
        <v>71</v>
      </c>
      <c r="C10" s="55"/>
      <c r="D10" s="28">
        <v>0.04</v>
      </c>
      <c r="E10" s="26" t="s">
        <v>72</v>
      </c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AX10" s="55"/>
      <c r="AY10" s="55"/>
      <c r="AZ10" s="55"/>
      <c r="BA10" s="55"/>
      <c r="BB10" s="55"/>
      <c r="BC10" s="55"/>
      <c r="BD10" s="55"/>
      <c r="BE10" s="55"/>
      <c r="BF10" s="55"/>
      <c r="BG10" s="55"/>
      <c r="BH10" s="55"/>
      <c r="BI10" s="55"/>
      <c r="BJ10" s="55"/>
      <c r="BK10" s="55"/>
      <c r="BL10" s="55"/>
      <c r="BM10" s="55"/>
      <c r="BN10" s="55"/>
      <c r="BO10" s="55"/>
      <c r="BP10" s="55"/>
      <c r="BQ10" s="55"/>
      <c r="BR10" s="55"/>
      <c r="BS10" s="55"/>
      <c r="BT10" s="55"/>
      <c r="BU10" s="55"/>
      <c r="BV10" s="55"/>
      <c r="BW10" s="55"/>
      <c r="BX10" s="55"/>
      <c r="BY10" s="55"/>
      <c r="BZ10" s="55"/>
      <c r="CA10" s="55"/>
      <c r="CB10" s="55"/>
      <c r="CC10" s="55"/>
      <c r="CD10" s="55"/>
      <c r="CE10" s="55"/>
      <c r="CF10" s="55"/>
      <c r="CG10" s="55"/>
      <c r="CH10" s="55"/>
      <c r="CI10" s="55"/>
      <c r="CJ10" s="55"/>
      <c r="CK10" s="55"/>
      <c r="CL10" s="55"/>
      <c r="CM10" s="55"/>
      <c r="CN10" s="55"/>
      <c r="CO10" s="55"/>
      <c r="CP10" s="55"/>
      <c r="CQ10" s="55"/>
      <c r="CR10" s="55"/>
      <c r="CS10" s="55"/>
      <c r="CT10" s="55"/>
      <c r="CU10" s="55"/>
      <c r="CV10" s="55"/>
      <c r="CW10" s="55"/>
      <c r="CX10" s="55"/>
      <c r="CY10" s="55"/>
      <c r="CZ10" s="55"/>
      <c r="DA10" s="55"/>
      <c r="DB10" s="55"/>
      <c r="DC10" s="55"/>
      <c r="DD10" s="55"/>
      <c r="DE10" s="55"/>
      <c r="DF10" s="55"/>
      <c r="DG10" s="55"/>
      <c r="DH10" s="55"/>
      <c r="DI10" s="55"/>
      <c r="DJ10" s="55"/>
      <c r="DK10" s="55"/>
      <c r="DL10" s="55"/>
      <c r="DM10" s="55"/>
      <c r="DN10" s="55"/>
      <c r="DO10" s="55"/>
      <c r="DP10" s="55"/>
      <c r="DQ10" s="55"/>
      <c r="DR10" s="55"/>
      <c r="DS10" s="55"/>
      <c r="DT10" s="55"/>
      <c r="DU10" s="55"/>
      <c r="DV10" s="55"/>
    </row>
    <row r="11" spans="1:126" ht="8" customHeight="1" x14ac:dyDescent="0.4">
      <c r="A11" s="55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5"/>
      <c r="AZ11" s="55"/>
      <c r="BA11" s="55"/>
      <c r="BB11" s="55"/>
      <c r="BC11" s="55"/>
      <c r="BD11" s="55"/>
      <c r="BE11" s="55"/>
      <c r="BF11" s="55"/>
      <c r="BG11" s="55"/>
      <c r="BH11" s="55"/>
      <c r="BI11" s="55"/>
      <c r="BJ11" s="55"/>
      <c r="BK11" s="55"/>
      <c r="BL11" s="55"/>
      <c r="BM11" s="55"/>
      <c r="BN11" s="55"/>
      <c r="BO11" s="55"/>
      <c r="BP11" s="55"/>
      <c r="BQ11" s="55"/>
      <c r="BR11" s="55"/>
      <c r="BS11" s="55"/>
      <c r="BT11" s="55"/>
      <c r="BU11" s="55"/>
      <c r="BV11" s="55"/>
      <c r="BW11" s="55"/>
      <c r="BX11" s="55"/>
      <c r="BY11" s="55"/>
      <c r="BZ11" s="55"/>
      <c r="CA11" s="55"/>
      <c r="CB11" s="55"/>
      <c r="CC11" s="55"/>
      <c r="CD11" s="55"/>
      <c r="CE11" s="55"/>
      <c r="CF11" s="55"/>
      <c r="CG11" s="55"/>
      <c r="CH11" s="55"/>
      <c r="CI11" s="55"/>
      <c r="CJ11" s="55"/>
      <c r="CK11" s="55"/>
      <c r="CL11" s="55"/>
      <c r="CM11" s="55"/>
      <c r="CN11" s="55"/>
      <c r="CO11" s="55"/>
      <c r="CP11" s="55"/>
      <c r="CQ11" s="55"/>
      <c r="CR11" s="55"/>
      <c r="CS11" s="55"/>
      <c r="CT11" s="55"/>
      <c r="CU11" s="55"/>
      <c r="CV11" s="55"/>
      <c r="CW11" s="55"/>
      <c r="CX11" s="55"/>
      <c r="CY11" s="55"/>
      <c r="CZ11" s="55"/>
      <c r="DA11" s="55"/>
      <c r="DB11" s="55"/>
      <c r="DC11" s="55"/>
      <c r="DD11" s="55"/>
      <c r="DE11" s="55"/>
      <c r="DF11" s="55"/>
      <c r="DG11" s="55"/>
      <c r="DH11" s="55"/>
      <c r="DI11" s="55"/>
      <c r="DJ11" s="55"/>
      <c r="DK11" s="55"/>
      <c r="DL11" s="55"/>
      <c r="DM11" s="55"/>
      <c r="DN11" s="55"/>
      <c r="DO11" s="55"/>
      <c r="DP11" s="55"/>
      <c r="DQ11" s="55"/>
      <c r="DR11" s="55"/>
      <c r="DS11" s="55"/>
      <c r="DT11" s="55"/>
      <c r="DU11" s="55"/>
      <c r="DV11" s="55"/>
    </row>
    <row r="12" spans="1:126" ht="22.05" customHeight="1" x14ac:dyDescent="0.5">
      <c r="A12" s="55"/>
      <c r="B12" s="50" t="s">
        <v>73</v>
      </c>
      <c r="C12" s="49"/>
      <c r="D12" s="49"/>
      <c r="E12" s="49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5"/>
      <c r="AY12" s="55"/>
      <c r="AZ12" s="55"/>
      <c r="BA12" s="55"/>
      <c r="BB12" s="55"/>
      <c r="BC12" s="55"/>
      <c r="BD12" s="55"/>
      <c r="BE12" s="55"/>
      <c r="BF12" s="55"/>
      <c r="BG12" s="55"/>
      <c r="BH12" s="55"/>
      <c r="BI12" s="55"/>
      <c r="BJ12" s="55"/>
      <c r="BK12" s="55"/>
      <c r="BL12" s="55"/>
      <c r="BM12" s="55"/>
      <c r="BN12" s="55"/>
      <c r="BO12" s="55"/>
      <c r="BP12" s="55"/>
      <c r="BQ12" s="55"/>
      <c r="BR12" s="55"/>
      <c r="BS12" s="55"/>
      <c r="BT12" s="55"/>
      <c r="BU12" s="55"/>
      <c r="BV12" s="55"/>
      <c r="BW12" s="55"/>
      <c r="BX12" s="55"/>
      <c r="BY12" s="55"/>
      <c r="BZ12" s="55"/>
      <c r="CA12" s="55"/>
      <c r="CB12" s="55"/>
      <c r="CC12" s="55"/>
      <c r="CD12" s="55"/>
      <c r="CE12" s="55"/>
      <c r="CF12" s="55"/>
      <c r="CG12" s="55"/>
      <c r="CH12" s="55"/>
      <c r="CI12" s="55"/>
      <c r="CJ12" s="55"/>
      <c r="CK12" s="55"/>
      <c r="CL12" s="55"/>
      <c r="CM12" s="55"/>
      <c r="CN12" s="55"/>
      <c r="CO12" s="55"/>
      <c r="CP12" s="55"/>
      <c r="CQ12" s="55"/>
      <c r="CR12" s="55"/>
      <c r="CS12" s="55"/>
      <c r="CT12" s="55"/>
      <c r="CU12" s="55"/>
      <c r="CV12" s="55"/>
      <c r="CW12" s="55"/>
      <c r="CX12" s="55"/>
      <c r="CY12" s="55"/>
      <c r="CZ12" s="55"/>
      <c r="DA12" s="55"/>
      <c r="DB12" s="55"/>
      <c r="DC12" s="55"/>
      <c r="DD12" s="55"/>
      <c r="DE12" s="55"/>
      <c r="DF12" s="55"/>
      <c r="DG12" s="55"/>
      <c r="DH12" s="55"/>
      <c r="DI12" s="55"/>
      <c r="DJ12" s="55"/>
      <c r="DK12" s="55"/>
      <c r="DL12" s="55"/>
      <c r="DM12" s="55"/>
      <c r="DN12" s="55"/>
      <c r="DO12" s="55"/>
      <c r="DP12" s="55"/>
      <c r="DQ12" s="55"/>
      <c r="DR12" s="55"/>
      <c r="DS12" s="55"/>
      <c r="DT12" s="55"/>
      <c r="DU12" s="55"/>
      <c r="DV12" s="55"/>
    </row>
    <row r="13" spans="1:126" ht="16.05" customHeight="1" x14ac:dyDescent="0.4">
      <c r="A13" s="55"/>
      <c r="B13" s="12" t="s">
        <v>74</v>
      </c>
      <c r="C13" s="55"/>
      <c r="D13" s="27">
        <v>2000000</v>
      </c>
      <c r="E13" s="26" t="s">
        <v>75</v>
      </c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  <c r="BD13" s="55"/>
      <c r="BE13" s="55"/>
      <c r="BF13" s="55"/>
      <c r="BG13" s="55"/>
      <c r="BH13" s="55"/>
      <c r="BI13" s="55"/>
      <c r="BJ13" s="55"/>
      <c r="BK13" s="55"/>
      <c r="BL13" s="55"/>
      <c r="BM13" s="55"/>
      <c r="BN13" s="55"/>
      <c r="BO13" s="55"/>
      <c r="BP13" s="55"/>
      <c r="BQ13" s="55"/>
      <c r="BR13" s="55"/>
      <c r="BS13" s="55"/>
      <c r="BT13" s="55"/>
      <c r="BU13" s="55"/>
      <c r="BV13" s="55"/>
      <c r="BW13" s="55"/>
      <c r="BX13" s="55"/>
      <c r="BY13" s="55"/>
      <c r="BZ13" s="55"/>
      <c r="CA13" s="55"/>
      <c r="CB13" s="55"/>
      <c r="CC13" s="55"/>
      <c r="CD13" s="55"/>
      <c r="CE13" s="55"/>
      <c r="CF13" s="55"/>
      <c r="CG13" s="55"/>
      <c r="CH13" s="55"/>
      <c r="CI13" s="55"/>
      <c r="CJ13" s="55"/>
      <c r="CK13" s="55"/>
      <c r="CL13" s="55"/>
      <c r="CM13" s="55"/>
      <c r="CN13" s="55"/>
      <c r="CO13" s="55"/>
      <c r="CP13" s="55"/>
      <c r="CQ13" s="55"/>
      <c r="CR13" s="55"/>
      <c r="CS13" s="55"/>
      <c r="CT13" s="55"/>
      <c r="CU13" s="55"/>
      <c r="CV13" s="55"/>
      <c r="CW13" s="55"/>
      <c r="CX13" s="55"/>
      <c r="CY13" s="55"/>
      <c r="CZ13" s="55"/>
      <c r="DA13" s="55"/>
      <c r="DB13" s="55"/>
      <c r="DC13" s="55"/>
      <c r="DD13" s="55"/>
      <c r="DE13" s="55"/>
      <c r="DF13" s="55"/>
      <c r="DG13" s="55"/>
      <c r="DH13" s="55"/>
      <c r="DI13" s="55"/>
      <c r="DJ13" s="55"/>
      <c r="DK13" s="55"/>
      <c r="DL13" s="55"/>
      <c r="DM13" s="55"/>
      <c r="DN13" s="55"/>
      <c r="DO13" s="55"/>
      <c r="DP13" s="55"/>
      <c r="DQ13" s="55"/>
      <c r="DR13" s="55"/>
      <c r="DS13" s="55"/>
      <c r="DT13" s="55"/>
      <c r="DU13" s="55"/>
      <c r="DV13" s="55"/>
    </row>
    <row r="14" spans="1:126" ht="16.05" customHeight="1" x14ac:dyDescent="0.4">
      <c r="A14" s="55"/>
      <c r="B14" s="12" t="s">
        <v>76</v>
      </c>
      <c r="C14" s="55"/>
      <c r="D14" s="28">
        <v>0.05</v>
      </c>
      <c r="E14" s="26" t="s">
        <v>77</v>
      </c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55"/>
      <c r="BJ14" s="55"/>
      <c r="BK14" s="55"/>
      <c r="BL14" s="55"/>
      <c r="BM14" s="55"/>
      <c r="BN14" s="55"/>
      <c r="BO14" s="55"/>
      <c r="BP14" s="55"/>
      <c r="BQ14" s="55"/>
      <c r="BR14" s="55"/>
      <c r="BS14" s="55"/>
      <c r="BT14" s="55"/>
      <c r="BU14" s="55"/>
      <c r="BV14" s="55"/>
      <c r="BW14" s="55"/>
      <c r="BX14" s="55"/>
      <c r="BY14" s="55"/>
      <c r="BZ14" s="55"/>
      <c r="CA14" s="55"/>
      <c r="CB14" s="55"/>
      <c r="CC14" s="55"/>
      <c r="CD14" s="55"/>
      <c r="CE14" s="55"/>
      <c r="CF14" s="55"/>
      <c r="CG14" s="55"/>
      <c r="CH14" s="55"/>
      <c r="CI14" s="55"/>
      <c r="CJ14" s="55"/>
      <c r="CK14" s="55"/>
      <c r="CL14" s="55"/>
      <c r="CM14" s="55"/>
      <c r="CN14" s="55"/>
      <c r="CO14" s="55"/>
      <c r="CP14" s="55"/>
      <c r="CQ14" s="55"/>
      <c r="CR14" s="55"/>
      <c r="CS14" s="55"/>
      <c r="CT14" s="55"/>
      <c r="CU14" s="55"/>
      <c r="CV14" s="55"/>
      <c r="CW14" s="55"/>
      <c r="CX14" s="55"/>
      <c r="CY14" s="55"/>
      <c r="CZ14" s="55"/>
      <c r="DA14" s="55"/>
      <c r="DB14" s="55"/>
      <c r="DC14" s="55"/>
      <c r="DD14" s="55"/>
      <c r="DE14" s="55"/>
      <c r="DF14" s="55"/>
      <c r="DG14" s="55"/>
      <c r="DH14" s="55"/>
      <c r="DI14" s="55"/>
      <c r="DJ14" s="55"/>
      <c r="DK14" s="55"/>
      <c r="DL14" s="55"/>
      <c r="DM14" s="55"/>
      <c r="DN14" s="55"/>
      <c r="DO14" s="55"/>
      <c r="DP14" s="55"/>
      <c r="DQ14" s="55"/>
      <c r="DR14" s="55"/>
      <c r="DS14" s="55"/>
      <c r="DT14" s="55"/>
      <c r="DU14" s="55"/>
      <c r="DV14" s="55"/>
    </row>
    <row r="15" spans="1:126" ht="16.05" customHeight="1" x14ac:dyDescent="0.4">
      <c r="A15" s="55"/>
      <c r="B15" s="12" t="s">
        <v>78</v>
      </c>
      <c r="C15" s="55"/>
      <c r="D15" s="13">
        <v>24</v>
      </c>
      <c r="E15" s="26" t="s">
        <v>79</v>
      </c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  <c r="BD15" s="55"/>
      <c r="BE15" s="55"/>
      <c r="BF15" s="55"/>
      <c r="BG15" s="55"/>
      <c r="BH15" s="55"/>
      <c r="BI15" s="55"/>
      <c r="BJ15" s="55"/>
      <c r="BK15" s="55"/>
      <c r="BL15" s="55"/>
      <c r="BM15" s="55"/>
      <c r="BN15" s="55"/>
      <c r="BO15" s="55"/>
      <c r="BP15" s="55"/>
      <c r="BQ15" s="55"/>
      <c r="BR15" s="55"/>
      <c r="BS15" s="55"/>
      <c r="BT15" s="55"/>
      <c r="BU15" s="55"/>
      <c r="BV15" s="55"/>
      <c r="BW15" s="55"/>
      <c r="BX15" s="55"/>
      <c r="BY15" s="55"/>
      <c r="BZ15" s="55"/>
      <c r="CA15" s="55"/>
      <c r="CB15" s="55"/>
      <c r="CC15" s="55"/>
      <c r="CD15" s="55"/>
      <c r="CE15" s="55"/>
      <c r="CF15" s="55"/>
      <c r="CG15" s="55"/>
      <c r="CH15" s="55"/>
      <c r="CI15" s="55"/>
      <c r="CJ15" s="55"/>
      <c r="CK15" s="55"/>
      <c r="CL15" s="55"/>
      <c r="CM15" s="55"/>
      <c r="CN15" s="55"/>
      <c r="CO15" s="55"/>
      <c r="CP15" s="55"/>
      <c r="CQ15" s="55"/>
      <c r="CR15" s="55"/>
      <c r="CS15" s="55"/>
      <c r="CT15" s="55"/>
      <c r="CU15" s="55"/>
      <c r="CV15" s="55"/>
      <c r="CW15" s="55"/>
      <c r="CX15" s="55"/>
      <c r="CY15" s="55"/>
      <c r="CZ15" s="55"/>
      <c r="DA15" s="55"/>
      <c r="DB15" s="55"/>
      <c r="DC15" s="55"/>
      <c r="DD15" s="55"/>
      <c r="DE15" s="55"/>
      <c r="DF15" s="55"/>
      <c r="DG15" s="55"/>
      <c r="DH15" s="55"/>
      <c r="DI15" s="55"/>
      <c r="DJ15" s="55"/>
      <c r="DK15" s="55"/>
      <c r="DL15" s="55"/>
      <c r="DM15" s="55"/>
      <c r="DN15" s="55"/>
      <c r="DO15" s="55"/>
      <c r="DP15" s="55"/>
      <c r="DQ15" s="55"/>
      <c r="DR15" s="55"/>
      <c r="DS15" s="55"/>
      <c r="DT15" s="55"/>
      <c r="DU15" s="55"/>
      <c r="DV15" s="55"/>
    </row>
    <row r="16" spans="1:126" ht="18" customHeight="1" x14ac:dyDescent="0.4">
      <c r="A16" s="55"/>
      <c r="B16" s="29" t="s">
        <v>80</v>
      </c>
      <c r="C16" s="55"/>
      <c r="D16" s="26" t="str">
        <f>IFERROR(IF(SUM(E18:DT18)=1,"✓  Sums to 100%","⚠  Current sum = "&amp;TEXT(SUM(E18:DT18),"0.0%")&amp;"  (must = 100%)"),"—")</f>
        <v>⚠  Current sum = 0.0%  (must = 100%)</v>
      </c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55"/>
      <c r="BA16" s="55"/>
      <c r="BB16" s="55"/>
      <c r="BC16" s="55"/>
      <c r="BD16" s="55"/>
      <c r="BE16" s="55"/>
      <c r="BF16" s="55"/>
      <c r="BG16" s="55"/>
      <c r="BH16" s="55"/>
      <c r="BI16" s="55"/>
      <c r="BJ16" s="55"/>
      <c r="BK16" s="55"/>
      <c r="BL16" s="55"/>
      <c r="BM16" s="55"/>
      <c r="BN16" s="55"/>
      <c r="BO16" s="55"/>
      <c r="BP16" s="55"/>
      <c r="BQ16" s="55"/>
      <c r="BR16" s="55"/>
      <c r="BS16" s="55"/>
      <c r="BT16" s="55"/>
      <c r="BU16" s="55"/>
      <c r="BV16" s="55"/>
      <c r="BW16" s="55"/>
      <c r="BX16" s="55"/>
      <c r="BY16" s="55"/>
      <c r="BZ16" s="55"/>
      <c r="CA16" s="55"/>
      <c r="CB16" s="55"/>
      <c r="CC16" s="55"/>
      <c r="CD16" s="55"/>
      <c r="CE16" s="55"/>
      <c r="CF16" s="55"/>
      <c r="CG16" s="55"/>
      <c r="CH16" s="55"/>
      <c r="CI16" s="55"/>
      <c r="CJ16" s="55"/>
      <c r="CK16" s="55"/>
      <c r="CL16" s="55"/>
      <c r="CM16" s="55"/>
      <c r="CN16" s="55"/>
      <c r="CO16" s="55"/>
      <c r="CP16" s="55"/>
      <c r="CQ16" s="55"/>
      <c r="CR16" s="55"/>
      <c r="CS16" s="55"/>
      <c r="CT16" s="55"/>
      <c r="CU16" s="55"/>
      <c r="CV16" s="55"/>
      <c r="CW16" s="55"/>
      <c r="CX16" s="55"/>
      <c r="CY16" s="55"/>
      <c r="CZ16" s="55"/>
      <c r="DA16" s="55"/>
      <c r="DB16" s="55"/>
      <c r="DC16" s="55"/>
      <c r="DD16" s="55"/>
      <c r="DE16" s="55"/>
      <c r="DF16" s="55"/>
      <c r="DG16" s="55"/>
      <c r="DH16" s="55"/>
      <c r="DI16" s="55"/>
      <c r="DJ16" s="55"/>
      <c r="DK16" s="55"/>
      <c r="DL16" s="55"/>
      <c r="DM16" s="55"/>
      <c r="DN16" s="55"/>
      <c r="DO16" s="55"/>
      <c r="DP16" s="55"/>
      <c r="DQ16" s="55"/>
      <c r="DR16" s="55"/>
      <c r="DS16" s="55"/>
      <c r="DT16" s="55"/>
      <c r="DU16" s="55"/>
      <c r="DV16" s="55"/>
    </row>
    <row r="17" spans="1:126" ht="13.05" customHeight="1" x14ac:dyDescent="0.4">
      <c r="A17" s="55"/>
      <c r="B17" s="55"/>
      <c r="C17" s="55"/>
      <c r="D17" s="55"/>
      <c r="E17" s="30">
        <v>1</v>
      </c>
      <c r="F17" s="30">
        <v>2</v>
      </c>
      <c r="G17" s="30">
        <v>3</v>
      </c>
      <c r="H17" s="30">
        <v>4</v>
      </c>
      <c r="I17" s="30">
        <v>5</v>
      </c>
      <c r="J17" s="30">
        <v>6</v>
      </c>
      <c r="K17" s="30">
        <v>7</v>
      </c>
      <c r="L17" s="30">
        <v>8</v>
      </c>
      <c r="M17" s="30">
        <v>9</v>
      </c>
      <c r="N17" s="30">
        <v>10</v>
      </c>
      <c r="O17" s="30">
        <v>11</v>
      </c>
      <c r="P17" s="30">
        <v>12</v>
      </c>
      <c r="Q17" s="30">
        <v>13</v>
      </c>
      <c r="R17" s="30">
        <v>14</v>
      </c>
      <c r="S17" s="30">
        <v>15</v>
      </c>
      <c r="T17" s="30">
        <v>16</v>
      </c>
      <c r="U17" s="30">
        <v>17</v>
      </c>
      <c r="V17" s="30">
        <v>18</v>
      </c>
      <c r="W17" s="30">
        <v>19</v>
      </c>
      <c r="X17" s="30">
        <v>20</v>
      </c>
      <c r="Y17" s="30">
        <v>21</v>
      </c>
      <c r="Z17" s="30">
        <v>22</v>
      </c>
      <c r="AA17" s="30">
        <v>23</v>
      </c>
      <c r="AB17" s="30">
        <v>24</v>
      </c>
      <c r="AC17" s="30">
        <v>25</v>
      </c>
      <c r="AD17" s="30">
        <v>26</v>
      </c>
      <c r="AE17" s="30">
        <v>27</v>
      </c>
      <c r="AF17" s="30">
        <v>28</v>
      </c>
      <c r="AG17" s="30">
        <v>29</v>
      </c>
      <c r="AH17" s="30">
        <v>30</v>
      </c>
      <c r="AI17" s="30">
        <v>31</v>
      </c>
      <c r="AJ17" s="30">
        <v>32</v>
      </c>
      <c r="AK17" s="30">
        <v>33</v>
      </c>
      <c r="AL17" s="30">
        <v>34</v>
      </c>
      <c r="AM17" s="30">
        <v>35</v>
      </c>
      <c r="AN17" s="30">
        <v>36</v>
      </c>
      <c r="AO17" s="30">
        <v>37</v>
      </c>
      <c r="AP17" s="30">
        <v>38</v>
      </c>
      <c r="AQ17" s="30">
        <v>39</v>
      </c>
      <c r="AR17" s="30">
        <v>40</v>
      </c>
      <c r="AS17" s="30">
        <v>41</v>
      </c>
      <c r="AT17" s="30">
        <v>42</v>
      </c>
      <c r="AU17" s="30">
        <v>43</v>
      </c>
      <c r="AV17" s="30">
        <v>44</v>
      </c>
      <c r="AW17" s="30">
        <v>45</v>
      </c>
      <c r="AX17" s="30">
        <v>46</v>
      </c>
      <c r="AY17" s="30">
        <v>47</v>
      </c>
      <c r="AZ17" s="30">
        <v>48</v>
      </c>
      <c r="BA17" s="30">
        <v>49</v>
      </c>
      <c r="BB17" s="30">
        <v>50</v>
      </c>
      <c r="BC17" s="30">
        <v>51</v>
      </c>
      <c r="BD17" s="30">
        <v>52</v>
      </c>
      <c r="BE17" s="30">
        <v>53</v>
      </c>
      <c r="BF17" s="30">
        <v>54</v>
      </c>
      <c r="BG17" s="30">
        <v>55</v>
      </c>
      <c r="BH17" s="30">
        <v>56</v>
      </c>
      <c r="BI17" s="30">
        <v>57</v>
      </c>
      <c r="BJ17" s="30">
        <v>58</v>
      </c>
      <c r="BK17" s="30">
        <v>59</v>
      </c>
      <c r="BL17" s="30">
        <v>60</v>
      </c>
      <c r="BM17" s="30">
        <v>61</v>
      </c>
      <c r="BN17" s="30">
        <v>62</v>
      </c>
      <c r="BO17" s="30">
        <v>63</v>
      </c>
      <c r="BP17" s="30">
        <v>64</v>
      </c>
      <c r="BQ17" s="30">
        <v>65</v>
      </c>
      <c r="BR17" s="30">
        <v>66</v>
      </c>
      <c r="BS17" s="30">
        <v>67</v>
      </c>
      <c r="BT17" s="30">
        <v>68</v>
      </c>
      <c r="BU17" s="30">
        <v>69</v>
      </c>
      <c r="BV17" s="30">
        <v>70</v>
      </c>
      <c r="BW17" s="30">
        <v>71</v>
      </c>
      <c r="BX17" s="30">
        <v>72</v>
      </c>
      <c r="BY17" s="30">
        <v>73</v>
      </c>
      <c r="BZ17" s="30">
        <v>74</v>
      </c>
      <c r="CA17" s="30">
        <v>75</v>
      </c>
      <c r="CB17" s="30">
        <v>76</v>
      </c>
      <c r="CC17" s="30">
        <v>77</v>
      </c>
      <c r="CD17" s="30">
        <v>78</v>
      </c>
      <c r="CE17" s="30">
        <v>79</v>
      </c>
      <c r="CF17" s="30">
        <v>80</v>
      </c>
      <c r="CG17" s="30">
        <v>81</v>
      </c>
      <c r="CH17" s="30">
        <v>82</v>
      </c>
      <c r="CI17" s="30">
        <v>83</v>
      </c>
      <c r="CJ17" s="30">
        <v>84</v>
      </c>
      <c r="CK17" s="30">
        <v>85</v>
      </c>
      <c r="CL17" s="30">
        <v>86</v>
      </c>
      <c r="CM17" s="30">
        <v>87</v>
      </c>
      <c r="CN17" s="30">
        <v>88</v>
      </c>
      <c r="CO17" s="30">
        <v>89</v>
      </c>
      <c r="CP17" s="30">
        <v>90</v>
      </c>
      <c r="CQ17" s="30">
        <v>91</v>
      </c>
      <c r="CR17" s="30">
        <v>92</v>
      </c>
      <c r="CS17" s="30">
        <v>93</v>
      </c>
      <c r="CT17" s="30">
        <v>94</v>
      </c>
      <c r="CU17" s="30">
        <v>95</v>
      </c>
      <c r="CV17" s="30">
        <v>96</v>
      </c>
      <c r="CW17" s="30">
        <v>97</v>
      </c>
      <c r="CX17" s="30">
        <v>98</v>
      </c>
      <c r="CY17" s="30">
        <v>99</v>
      </c>
      <c r="CZ17" s="30">
        <v>100</v>
      </c>
      <c r="DA17" s="30">
        <v>101</v>
      </c>
      <c r="DB17" s="30">
        <v>102</v>
      </c>
      <c r="DC17" s="30">
        <v>103</v>
      </c>
      <c r="DD17" s="30">
        <v>104</v>
      </c>
      <c r="DE17" s="30">
        <v>105</v>
      </c>
      <c r="DF17" s="30">
        <v>106</v>
      </c>
      <c r="DG17" s="30">
        <v>107</v>
      </c>
      <c r="DH17" s="30">
        <v>108</v>
      </c>
      <c r="DI17" s="30">
        <v>109</v>
      </c>
      <c r="DJ17" s="30">
        <v>110</v>
      </c>
      <c r="DK17" s="30">
        <v>111</v>
      </c>
      <c r="DL17" s="30">
        <v>112</v>
      </c>
      <c r="DM17" s="30">
        <v>113</v>
      </c>
      <c r="DN17" s="30">
        <v>114</v>
      </c>
      <c r="DO17" s="30">
        <v>115</v>
      </c>
      <c r="DP17" s="30">
        <v>116</v>
      </c>
      <c r="DQ17" s="30">
        <v>117</v>
      </c>
      <c r="DR17" s="30">
        <v>118</v>
      </c>
      <c r="DS17" s="30">
        <v>119</v>
      </c>
      <c r="DT17" s="30">
        <v>120</v>
      </c>
      <c r="DU17" s="55"/>
      <c r="DV17" s="55"/>
    </row>
    <row r="18" spans="1:126" ht="13.05" customHeight="1" x14ac:dyDescent="0.4">
      <c r="A18" s="55"/>
      <c r="B18" s="55"/>
      <c r="C18" s="55"/>
      <c r="D18" s="55"/>
      <c r="E18" s="31">
        <v>0</v>
      </c>
      <c r="F18" s="31">
        <v>0</v>
      </c>
      <c r="G18" s="31">
        <v>0</v>
      </c>
      <c r="H18" s="31">
        <v>0</v>
      </c>
      <c r="I18" s="31">
        <v>0</v>
      </c>
      <c r="J18" s="31">
        <v>0</v>
      </c>
      <c r="K18" s="31">
        <v>0</v>
      </c>
      <c r="L18" s="31">
        <v>0</v>
      </c>
      <c r="M18" s="31">
        <v>0</v>
      </c>
      <c r="N18" s="31">
        <v>0</v>
      </c>
      <c r="O18" s="31">
        <v>0</v>
      </c>
      <c r="P18" s="31">
        <v>0</v>
      </c>
      <c r="Q18" s="31">
        <v>0</v>
      </c>
      <c r="R18" s="31">
        <v>0</v>
      </c>
      <c r="S18" s="31">
        <v>0</v>
      </c>
      <c r="T18" s="31">
        <v>0</v>
      </c>
      <c r="U18" s="31">
        <v>0</v>
      </c>
      <c r="V18" s="31">
        <v>0</v>
      </c>
      <c r="W18" s="31">
        <v>0</v>
      </c>
      <c r="X18" s="31">
        <v>0</v>
      </c>
      <c r="Y18" s="31">
        <v>0</v>
      </c>
      <c r="Z18" s="31">
        <v>0</v>
      </c>
      <c r="AA18" s="31">
        <v>0</v>
      </c>
      <c r="AB18" s="31">
        <v>0</v>
      </c>
      <c r="AC18" s="31">
        <v>0</v>
      </c>
      <c r="AD18" s="31">
        <v>0</v>
      </c>
      <c r="AE18" s="31">
        <v>0</v>
      </c>
      <c r="AF18" s="31">
        <v>0</v>
      </c>
      <c r="AG18" s="31">
        <v>0</v>
      </c>
      <c r="AH18" s="31">
        <v>0</v>
      </c>
      <c r="AI18" s="31">
        <v>0</v>
      </c>
      <c r="AJ18" s="31">
        <v>0</v>
      </c>
      <c r="AK18" s="31">
        <v>0</v>
      </c>
      <c r="AL18" s="31">
        <v>0</v>
      </c>
      <c r="AM18" s="31">
        <v>0</v>
      </c>
      <c r="AN18" s="31">
        <v>0</v>
      </c>
      <c r="AO18" s="31">
        <v>0</v>
      </c>
      <c r="AP18" s="31">
        <v>0</v>
      </c>
      <c r="AQ18" s="31">
        <v>0</v>
      </c>
      <c r="AR18" s="31">
        <v>0</v>
      </c>
      <c r="AS18" s="31">
        <v>0</v>
      </c>
      <c r="AT18" s="31">
        <v>0</v>
      </c>
      <c r="AU18" s="31">
        <v>0</v>
      </c>
      <c r="AV18" s="31">
        <v>0</v>
      </c>
      <c r="AW18" s="31">
        <v>0</v>
      </c>
      <c r="AX18" s="31">
        <v>0</v>
      </c>
      <c r="AY18" s="31">
        <v>0</v>
      </c>
      <c r="AZ18" s="31">
        <v>0</v>
      </c>
      <c r="BA18" s="31">
        <v>0</v>
      </c>
      <c r="BB18" s="31">
        <v>0</v>
      </c>
      <c r="BC18" s="31">
        <v>0</v>
      </c>
      <c r="BD18" s="31">
        <v>0</v>
      </c>
      <c r="BE18" s="31">
        <v>0</v>
      </c>
      <c r="BF18" s="31">
        <v>0</v>
      </c>
      <c r="BG18" s="31">
        <v>0</v>
      </c>
      <c r="BH18" s="31">
        <v>0</v>
      </c>
      <c r="BI18" s="31">
        <v>0</v>
      </c>
      <c r="BJ18" s="31">
        <v>0</v>
      </c>
      <c r="BK18" s="31">
        <v>0</v>
      </c>
      <c r="BL18" s="31">
        <v>0</v>
      </c>
      <c r="BM18" s="31">
        <v>0</v>
      </c>
      <c r="BN18" s="31">
        <v>0</v>
      </c>
      <c r="BO18" s="31">
        <v>0</v>
      </c>
      <c r="BP18" s="31">
        <v>0</v>
      </c>
      <c r="BQ18" s="31">
        <v>0</v>
      </c>
      <c r="BR18" s="31">
        <v>0</v>
      </c>
      <c r="BS18" s="31">
        <v>0</v>
      </c>
      <c r="BT18" s="31">
        <v>0</v>
      </c>
      <c r="BU18" s="31">
        <v>0</v>
      </c>
      <c r="BV18" s="31">
        <v>0</v>
      </c>
      <c r="BW18" s="31">
        <v>0</v>
      </c>
      <c r="BX18" s="31">
        <v>0</v>
      </c>
      <c r="BY18" s="31">
        <v>0</v>
      </c>
      <c r="BZ18" s="31">
        <v>0</v>
      </c>
      <c r="CA18" s="31">
        <v>0</v>
      </c>
      <c r="CB18" s="31">
        <v>0</v>
      </c>
      <c r="CC18" s="31">
        <v>0</v>
      </c>
      <c r="CD18" s="31">
        <v>0</v>
      </c>
      <c r="CE18" s="31">
        <v>0</v>
      </c>
      <c r="CF18" s="31">
        <v>0</v>
      </c>
      <c r="CG18" s="31">
        <v>0</v>
      </c>
      <c r="CH18" s="31">
        <v>0</v>
      </c>
      <c r="CI18" s="31">
        <v>0</v>
      </c>
      <c r="CJ18" s="31">
        <v>0</v>
      </c>
      <c r="CK18" s="31">
        <v>0</v>
      </c>
      <c r="CL18" s="31">
        <v>0</v>
      </c>
      <c r="CM18" s="31">
        <v>0</v>
      </c>
      <c r="CN18" s="31">
        <v>0</v>
      </c>
      <c r="CO18" s="31">
        <v>0</v>
      </c>
      <c r="CP18" s="31">
        <v>0</v>
      </c>
      <c r="CQ18" s="31">
        <v>0</v>
      </c>
      <c r="CR18" s="31">
        <v>0</v>
      </c>
      <c r="CS18" s="31">
        <v>0</v>
      </c>
      <c r="CT18" s="31">
        <v>0</v>
      </c>
      <c r="CU18" s="31">
        <v>0</v>
      </c>
      <c r="CV18" s="31">
        <v>0</v>
      </c>
      <c r="CW18" s="31">
        <v>0</v>
      </c>
      <c r="CX18" s="31">
        <v>0</v>
      </c>
      <c r="CY18" s="31">
        <v>0</v>
      </c>
      <c r="CZ18" s="31">
        <v>0</v>
      </c>
      <c r="DA18" s="31">
        <v>0</v>
      </c>
      <c r="DB18" s="31">
        <v>0</v>
      </c>
      <c r="DC18" s="31">
        <v>0</v>
      </c>
      <c r="DD18" s="31">
        <v>0</v>
      </c>
      <c r="DE18" s="31">
        <v>0</v>
      </c>
      <c r="DF18" s="31">
        <v>0</v>
      </c>
      <c r="DG18" s="31">
        <v>0</v>
      </c>
      <c r="DH18" s="31">
        <v>0</v>
      </c>
      <c r="DI18" s="31">
        <v>0</v>
      </c>
      <c r="DJ18" s="31">
        <v>0</v>
      </c>
      <c r="DK18" s="31">
        <v>0</v>
      </c>
      <c r="DL18" s="31">
        <v>0</v>
      </c>
      <c r="DM18" s="31">
        <v>0</v>
      </c>
      <c r="DN18" s="31">
        <v>0</v>
      </c>
      <c r="DO18" s="31">
        <v>0</v>
      </c>
      <c r="DP18" s="31">
        <v>0</v>
      </c>
      <c r="DQ18" s="31">
        <v>0</v>
      </c>
      <c r="DR18" s="31">
        <v>0</v>
      </c>
      <c r="DS18" s="31">
        <v>0</v>
      </c>
      <c r="DT18" s="31">
        <v>0</v>
      </c>
      <c r="DU18" s="55"/>
      <c r="DV18" s="55"/>
    </row>
    <row r="19" spans="1:126" ht="8" customHeight="1" x14ac:dyDescent="0.4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  <c r="BD19" s="55"/>
      <c r="BE19" s="55"/>
      <c r="BF19" s="55"/>
      <c r="BG19" s="55"/>
      <c r="BH19" s="55"/>
      <c r="BI19" s="55"/>
      <c r="BJ19" s="55"/>
      <c r="BK19" s="55"/>
      <c r="BL19" s="55"/>
      <c r="BM19" s="55"/>
      <c r="BN19" s="55"/>
      <c r="BO19" s="55"/>
      <c r="BP19" s="55"/>
      <c r="BQ19" s="55"/>
      <c r="BR19" s="55"/>
      <c r="BS19" s="55"/>
      <c r="BT19" s="55"/>
      <c r="BU19" s="55"/>
      <c r="BV19" s="55"/>
      <c r="BW19" s="55"/>
      <c r="BX19" s="55"/>
      <c r="BY19" s="55"/>
      <c r="BZ19" s="55"/>
      <c r="CA19" s="55"/>
      <c r="CB19" s="55"/>
      <c r="CC19" s="55"/>
      <c r="CD19" s="55"/>
      <c r="CE19" s="55"/>
      <c r="CF19" s="55"/>
      <c r="CG19" s="55"/>
      <c r="CH19" s="55"/>
      <c r="CI19" s="55"/>
      <c r="CJ19" s="55"/>
      <c r="CK19" s="55"/>
      <c r="CL19" s="55"/>
      <c r="CM19" s="55"/>
      <c r="CN19" s="55"/>
      <c r="CO19" s="55"/>
      <c r="CP19" s="55"/>
      <c r="CQ19" s="55"/>
      <c r="CR19" s="55"/>
      <c r="CS19" s="55"/>
      <c r="CT19" s="55"/>
      <c r="CU19" s="55"/>
      <c r="CV19" s="55"/>
      <c r="CW19" s="55"/>
      <c r="CX19" s="55"/>
      <c r="CY19" s="55"/>
      <c r="CZ19" s="55"/>
      <c r="DA19" s="55"/>
      <c r="DB19" s="55"/>
      <c r="DC19" s="55"/>
      <c r="DD19" s="55"/>
      <c r="DE19" s="55"/>
      <c r="DF19" s="55"/>
      <c r="DG19" s="55"/>
      <c r="DH19" s="55"/>
      <c r="DI19" s="55"/>
      <c r="DJ19" s="55"/>
      <c r="DK19" s="55"/>
      <c r="DL19" s="55"/>
      <c r="DM19" s="55"/>
      <c r="DN19" s="55"/>
      <c r="DO19" s="55"/>
      <c r="DP19" s="55"/>
      <c r="DQ19" s="55"/>
      <c r="DR19" s="55"/>
      <c r="DS19" s="55"/>
      <c r="DT19" s="55"/>
      <c r="DU19" s="55"/>
      <c r="DV19" s="55"/>
    </row>
    <row r="20" spans="1:126" ht="8" customHeight="1" x14ac:dyDescent="0.4">
      <c r="A20" s="55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5"/>
      <c r="AZ20" s="55"/>
      <c r="BA20" s="55"/>
      <c r="BB20" s="55"/>
      <c r="BC20" s="55"/>
      <c r="BD20" s="55"/>
      <c r="BE20" s="55"/>
      <c r="BF20" s="55"/>
      <c r="BG20" s="55"/>
      <c r="BH20" s="55"/>
      <c r="BI20" s="55"/>
      <c r="BJ20" s="55"/>
      <c r="BK20" s="55"/>
      <c r="BL20" s="55"/>
      <c r="BM20" s="55"/>
      <c r="BN20" s="55"/>
      <c r="BO20" s="55"/>
      <c r="BP20" s="55"/>
      <c r="BQ20" s="55"/>
      <c r="BR20" s="55"/>
      <c r="BS20" s="55"/>
      <c r="BT20" s="55"/>
      <c r="BU20" s="55"/>
      <c r="BV20" s="55"/>
      <c r="BW20" s="55"/>
      <c r="BX20" s="55"/>
      <c r="BY20" s="55"/>
      <c r="BZ20" s="55"/>
      <c r="CA20" s="55"/>
      <c r="CB20" s="55"/>
      <c r="CC20" s="55"/>
      <c r="CD20" s="55"/>
      <c r="CE20" s="55"/>
      <c r="CF20" s="55"/>
      <c r="CG20" s="55"/>
      <c r="CH20" s="55"/>
      <c r="CI20" s="55"/>
      <c r="CJ20" s="55"/>
      <c r="CK20" s="55"/>
      <c r="CL20" s="55"/>
      <c r="CM20" s="55"/>
      <c r="CN20" s="55"/>
      <c r="CO20" s="55"/>
      <c r="CP20" s="55"/>
      <c r="CQ20" s="55"/>
      <c r="CR20" s="55"/>
      <c r="CS20" s="55"/>
      <c r="CT20" s="55"/>
      <c r="CU20" s="55"/>
      <c r="CV20" s="55"/>
      <c r="CW20" s="55"/>
      <c r="CX20" s="55"/>
      <c r="CY20" s="55"/>
      <c r="CZ20" s="55"/>
      <c r="DA20" s="55"/>
      <c r="DB20" s="55"/>
      <c r="DC20" s="55"/>
      <c r="DD20" s="55"/>
      <c r="DE20" s="55"/>
      <c r="DF20" s="55"/>
      <c r="DG20" s="55"/>
      <c r="DH20" s="55"/>
      <c r="DI20" s="55"/>
      <c r="DJ20" s="55"/>
      <c r="DK20" s="55"/>
      <c r="DL20" s="55"/>
      <c r="DM20" s="55"/>
      <c r="DN20" s="55"/>
      <c r="DO20" s="55"/>
      <c r="DP20" s="55"/>
      <c r="DQ20" s="55"/>
      <c r="DR20" s="55"/>
      <c r="DS20" s="55"/>
      <c r="DT20" s="55"/>
      <c r="DU20" s="55"/>
      <c r="DV20" s="55"/>
    </row>
    <row r="21" spans="1:126" ht="22.05" customHeight="1" x14ac:dyDescent="0.5">
      <c r="A21" s="55"/>
      <c r="B21" s="50" t="s">
        <v>81</v>
      </c>
      <c r="C21" s="49"/>
      <c r="D21" s="49"/>
      <c r="E21" s="49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5"/>
      <c r="AZ21" s="55"/>
      <c r="BA21" s="55"/>
      <c r="BB21" s="55"/>
      <c r="BC21" s="55"/>
      <c r="BD21" s="55"/>
      <c r="BE21" s="55"/>
      <c r="BF21" s="55"/>
      <c r="BG21" s="55"/>
      <c r="BH21" s="55"/>
      <c r="BI21" s="55"/>
      <c r="BJ21" s="55"/>
      <c r="BK21" s="55"/>
      <c r="BL21" s="55"/>
      <c r="BM21" s="55"/>
      <c r="BN21" s="55"/>
      <c r="BO21" s="55"/>
      <c r="BP21" s="55"/>
      <c r="BQ21" s="55"/>
      <c r="BR21" s="55"/>
      <c r="BS21" s="55"/>
      <c r="BT21" s="55"/>
      <c r="BU21" s="55"/>
      <c r="BV21" s="55"/>
      <c r="BW21" s="55"/>
      <c r="BX21" s="55"/>
      <c r="BY21" s="55"/>
      <c r="BZ21" s="55"/>
      <c r="CA21" s="55"/>
      <c r="CB21" s="55"/>
      <c r="CC21" s="55"/>
      <c r="CD21" s="55"/>
      <c r="CE21" s="55"/>
      <c r="CF21" s="55"/>
      <c r="CG21" s="55"/>
      <c r="CH21" s="55"/>
      <c r="CI21" s="55"/>
      <c r="CJ21" s="55"/>
      <c r="CK21" s="55"/>
      <c r="CL21" s="55"/>
      <c r="CM21" s="55"/>
      <c r="CN21" s="55"/>
      <c r="CO21" s="55"/>
      <c r="CP21" s="55"/>
      <c r="CQ21" s="55"/>
      <c r="CR21" s="55"/>
      <c r="CS21" s="55"/>
      <c r="CT21" s="55"/>
      <c r="CU21" s="55"/>
      <c r="CV21" s="55"/>
      <c r="CW21" s="55"/>
      <c r="CX21" s="55"/>
      <c r="CY21" s="55"/>
      <c r="CZ21" s="55"/>
      <c r="DA21" s="55"/>
      <c r="DB21" s="55"/>
      <c r="DC21" s="55"/>
      <c r="DD21" s="55"/>
      <c r="DE21" s="55"/>
      <c r="DF21" s="55"/>
      <c r="DG21" s="55"/>
      <c r="DH21" s="55"/>
      <c r="DI21" s="55"/>
      <c r="DJ21" s="55"/>
      <c r="DK21" s="55"/>
      <c r="DL21" s="55"/>
      <c r="DM21" s="55"/>
      <c r="DN21" s="55"/>
      <c r="DO21" s="55"/>
      <c r="DP21" s="55"/>
      <c r="DQ21" s="55"/>
      <c r="DR21" s="55"/>
      <c r="DS21" s="55"/>
      <c r="DT21" s="55"/>
      <c r="DU21" s="55"/>
      <c r="DV21" s="55"/>
    </row>
    <row r="22" spans="1:126" ht="16.05" customHeight="1" x14ac:dyDescent="0.4">
      <c r="A22" s="55"/>
      <c r="B22" s="12" t="s">
        <v>82</v>
      </c>
      <c r="C22" s="55"/>
      <c r="D22" s="27">
        <v>8000000</v>
      </c>
      <c r="E22" s="26" t="s">
        <v>83</v>
      </c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/>
      <c r="AY22" s="55"/>
      <c r="AZ22" s="55"/>
      <c r="BA22" s="55"/>
      <c r="BB22" s="55"/>
      <c r="BC22" s="55"/>
      <c r="BD22" s="55"/>
      <c r="BE22" s="55"/>
      <c r="BF22" s="55"/>
      <c r="BG22" s="55"/>
      <c r="BH22" s="55"/>
      <c r="BI22" s="55"/>
      <c r="BJ22" s="55"/>
      <c r="BK22" s="55"/>
      <c r="BL22" s="55"/>
      <c r="BM22" s="55"/>
      <c r="BN22" s="55"/>
      <c r="BO22" s="55"/>
      <c r="BP22" s="55"/>
      <c r="BQ22" s="55"/>
      <c r="BR22" s="55"/>
      <c r="BS22" s="55"/>
      <c r="BT22" s="55"/>
      <c r="BU22" s="55"/>
      <c r="BV22" s="55"/>
      <c r="BW22" s="55"/>
      <c r="BX22" s="55"/>
      <c r="BY22" s="55"/>
      <c r="BZ22" s="55"/>
      <c r="CA22" s="55"/>
      <c r="CB22" s="55"/>
      <c r="CC22" s="55"/>
      <c r="CD22" s="55"/>
      <c r="CE22" s="55"/>
      <c r="CF22" s="55"/>
      <c r="CG22" s="55"/>
      <c r="CH22" s="55"/>
      <c r="CI22" s="55"/>
      <c r="CJ22" s="55"/>
      <c r="CK22" s="55"/>
      <c r="CL22" s="55"/>
      <c r="CM22" s="55"/>
      <c r="CN22" s="55"/>
      <c r="CO22" s="55"/>
      <c r="CP22" s="55"/>
      <c r="CQ22" s="55"/>
      <c r="CR22" s="55"/>
      <c r="CS22" s="55"/>
      <c r="CT22" s="55"/>
      <c r="CU22" s="55"/>
      <c r="CV22" s="55"/>
      <c r="CW22" s="55"/>
      <c r="CX22" s="55"/>
      <c r="CY22" s="55"/>
      <c r="CZ22" s="55"/>
      <c r="DA22" s="55"/>
      <c r="DB22" s="55"/>
      <c r="DC22" s="55"/>
      <c r="DD22" s="55"/>
      <c r="DE22" s="55"/>
      <c r="DF22" s="55"/>
      <c r="DG22" s="55"/>
      <c r="DH22" s="55"/>
      <c r="DI22" s="55"/>
      <c r="DJ22" s="55"/>
      <c r="DK22" s="55"/>
      <c r="DL22" s="55"/>
      <c r="DM22" s="55"/>
      <c r="DN22" s="55"/>
      <c r="DO22" s="55"/>
      <c r="DP22" s="55"/>
      <c r="DQ22" s="55"/>
      <c r="DR22" s="55"/>
      <c r="DS22" s="55"/>
      <c r="DT22" s="55"/>
      <c r="DU22" s="55"/>
      <c r="DV22" s="55"/>
    </row>
    <row r="23" spans="1:126" ht="16.05" customHeight="1" x14ac:dyDescent="0.4">
      <c r="A23" s="55"/>
      <c r="B23" s="12" t="s">
        <v>84</v>
      </c>
      <c r="C23" s="55"/>
      <c r="D23" s="32">
        <f>IFERROR(D28*(1+D30)^(D24/12)*D31*(1-D29)/D25,"—")</f>
        <v>2887779.4445454543</v>
      </c>
      <c r="E23" s="33" t="s">
        <v>85</v>
      </c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55"/>
      <c r="AW23" s="55"/>
      <c r="AX23" s="55"/>
      <c r="AY23" s="55"/>
      <c r="AZ23" s="55"/>
      <c r="BA23" s="55"/>
      <c r="BB23" s="55"/>
      <c r="BC23" s="55"/>
      <c r="BD23" s="55"/>
      <c r="BE23" s="55"/>
      <c r="BF23" s="55"/>
      <c r="BG23" s="55"/>
      <c r="BH23" s="55"/>
      <c r="BI23" s="55"/>
      <c r="BJ23" s="55"/>
      <c r="BK23" s="55"/>
      <c r="BL23" s="55"/>
      <c r="BM23" s="55"/>
      <c r="BN23" s="55"/>
      <c r="BO23" s="55"/>
      <c r="BP23" s="55"/>
      <c r="BQ23" s="55"/>
      <c r="BR23" s="55"/>
      <c r="BS23" s="55"/>
      <c r="BT23" s="55"/>
      <c r="BU23" s="55"/>
      <c r="BV23" s="55"/>
      <c r="BW23" s="55"/>
      <c r="BX23" s="55"/>
      <c r="BY23" s="55"/>
      <c r="BZ23" s="55"/>
      <c r="CA23" s="55"/>
      <c r="CB23" s="55"/>
      <c r="CC23" s="55"/>
      <c r="CD23" s="55"/>
      <c r="CE23" s="55"/>
      <c r="CF23" s="55"/>
      <c r="CG23" s="55"/>
      <c r="CH23" s="55"/>
      <c r="CI23" s="55"/>
      <c r="CJ23" s="55"/>
      <c r="CK23" s="55"/>
      <c r="CL23" s="55"/>
      <c r="CM23" s="55"/>
      <c r="CN23" s="55"/>
      <c r="CO23" s="55"/>
      <c r="CP23" s="55"/>
      <c r="CQ23" s="55"/>
      <c r="CR23" s="55"/>
      <c r="CS23" s="55"/>
      <c r="CT23" s="55"/>
      <c r="CU23" s="55"/>
      <c r="CV23" s="55"/>
      <c r="CW23" s="55"/>
      <c r="CX23" s="55"/>
      <c r="CY23" s="55"/>
      <c r="CZ23" s="55"/>
      <c r="DA23" s="55"/>
      <c r="DB23" s="55"/>
      <c r="DC23" s="55"/>
      <c r="DD23" s="55"/>
      <c r="DE23" s="55"/>
      <c r="DF23" s="55"/>
      <c r="DG23" s="55"/>
      <c r="DH23" s="55"/>
      <c r="DI23" s="55"/>
      <c r="DJ23" s="55"/>
      <c r="DK23" s="55"/>
      <c r="DL23" s="55"/>
      <c r="DM23" s="55"/>
      <c r="DN23" s="55"/>
      <c r="DO23" s="55"/>
      <c r="DP23" s="55"/>
      <c r="DQ23" s="55"/>
      <c r="DR23" s="55"/>
      <c r="DS23" s="55"/>
      <c r="DT23" s="55"/>
      <c r="DU23" s="55"/>
      <c r="DV23" s="55"/>
    </row>
    <row r="24" spans="1:126" ht="16.05" customHeight="1" x14ac:dyDescent="0.4">
      <c r="A24" s="55"/>
      <c r="B24" s="12" t="s">
        <v>86</v>
      </c>
      <c r="C24" s="55"/>
      <c r="D24" s="13">
        <v>36</v>
      </c>
      <c r="E24" s="26" t="s">
        <v>87</v>
      </c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5"/>
      <c r="BE24" s="55"/>
      <c r="BF24" s="55"/>
      <c r="BG24" s="55"/>
      <c r="BH24" s="55"/>
      <c r="BI24" s="55"/>
      <c r="BJ24" s="55"/>
      <c r="BK24" s="55"/>
      <c r="BL24" s="55"/>
      <c r="BM24" s="55"/>
      <c r="BN24" s="55"/>
      <c r="BO24" s="55"/>
      <c r="BP24" s="55"/>
      <c r="BQ24" s="55"/>
      <c r="BR24" s="55"/>
      <c r="BS24" s="55"/>
      <c r="BT24" s="55"/>
      <c r="BU24" s="55"/>
      <c r="BV24" s="55"/>
      <c r="BW24" s="55"/>
      <c r="BX24" s="55"/>
      <c r="BY24" s="55"/>
      <c r="BZ24" s="55"/>
      <c r="CA24" s="55"/>
      <c r="CB24" s="55"/>
      <c r="CC24" s="55"/>
      <c r="CD24" s="55"/>
      <c r="CE24" s="55"/>
      <c r="CF24" s="55"/>
      <c r="CG24" s="55"/>
      <c r="CH24" s="55"/>
      <c r="CI24" s="55"/>
      <c r="CJ24" s="55"/>
      <c r="CK24" s="55"/>
      <c r="CL24" s="55"/>
      <c r="CM24" s="55"/>
      <c r="CN24" s="55"/>
      <c r="CO24" s="55"/>
      <c r="CP24" s="55"/>
      <c r="CQ24" s="55"/>
      <c r="CR24" s="55"/>
      <c r="CS24" s="55"/>
      <c r="CT24" s="55"/>
      <c r="CU24" s="55"/>
      <c r="CV24" s="55"/>
      <c r="CW24" s="55"/>
      <c r="CX24" s="55"/>
      <c r="CY24" s="55"/>
      <c r="CZ24" s="55"/>
      <c r="DA24" s="55"/>
      <c r="DB24" s="55"/>
      <c r="DC24" s="55"/>
      <c r="DD24" s="55"/>
      <c r="DE24" s="55"/>
      <c r="DF24" s="55"/>
      <c r="DG24" s="55"/>
      <c r="DH24" s="55"/>
      <c r="DI24" s="55"/>
      <c r="DJ24" s="55"/>
      <c r="DK24" s="55"/>
      <c r="DL24" s="55"/>
      <c r="DM24" s="55"/>
      <c r="DN24" s="55"/>
      <c r="DO24" s="55"/>
      <c r="DP24" s="55"/>
      <c r="DQ24" s="55"/>
      <c r="DR24" s="55"/>
      <c r="DS24" s="55"/>
      <c r="DT24" s="55"/>
      <c r="DU24" s="55"/>
      <c r="DV24" s="55"/>
    </row>
    <row r="25" spans="1:126" ht="16.05" customHeight="1" x14ac:dyDescent="0.4">
      <c r="A25" s="55"/>
      <c r="B25" s="12" t="s">
        <v>88</v>
      </c>
      <c r="C25" s="55"/>
      <c r="D25" s="34">
        <v>5.5E-2</v>
      </c>
      <c r="E25" s="26" t="s">
        <v>89</v>
      </c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55"/>
      <c r="AT25" s="55"/>
      <c r="AU25" s="55"/>
      <c r="AV25" s="55"/>
      <c r="AW25" s="55"/>
      <c r="AX25" s="55"/>
      <c r="AY25" s="55"/>
      <c r="AZ25" s="55"/>
      <c r="BA25" s="55"/>
      <c r="BB25" s="55"/>
      <c r="BC25" s="55"/>
      <c r="BD25" s="55"/>
      <c r="BE25" s="55"/>
      <c r="BF25" s="55"/>
      <c r="BG25" s="55"/>
      <c r="BH25" s="55"/>
      <c r="BI25" s="55"/>
      <c r="BJ25" s="55"/>
      <c r="BK25" s="55"/>
      <c r="BL25" s="55"/>
      <c r="BM25" s="55"/>
      <c r="BN25" s="55"/>
      <c r="BO25" s="55"/>
      <c r="BP25" s="55"/>
      <c r="BQ25" s="55"/>
      <c r="BR25" s="55"/>
      <c r="BS25" s="55"/>
      <c r="BT25" s="55"/>
      <c r="BU25" s="55"/>
      <c r="BV25" s="55"/>
      <c r="BW25" s="55"/>
      <c r="BX25" s="55"/>
      <c r="BY25" s="55"/>
      <c r="BZ25" s="55"/>
      <c r="CA25" s="55"/>
      <c r="CB25" s="55"/>
      <c r="CC25" s="55"/>
      <c r="CD25" s="55"/>
      <c r="CE25" s="55"/>
      <c r="CF25" s="55"/>
      <c r="CG25" s="55"/>
      <c r="CH25" s="55"/>
      <c r="CI25" s="55"/>
      <c r="CJ25" s="55"/>
      <c r="CK25" s="55"/>
      <c r="CL25" s="55"/>
      <c r="CM25" s="55"/>
      <c r="CN25" s="55"/>
      <c r="CO25" s="55"/>
      <c r="CP25" s="55"/>
      <c r="CQ25" s="55"/>
      <c r="CR25" s="55"/>
      <c r="CS25" s="55"/>
      <c r="CT25" s="55"/>
      <c r="CU25" s="55"/>
      <c r="CV25" s="55"/>
      <c r="CW25" s="55"/>
      <c r="CX25" s="55"/>
      <c r="CY25" s="55"/>
      <c r="CZ25" s="55"/>
      <c r="DA25" s="55"/>
      <c r="DB25" s="55"/>
      <c r="DC25" s="55"/>
      <c r="DD25" s="55"/>
      <c r="DE25" s="55"/>
      <c r="DF25" s="55"/>
      <c r="DG25" s="55"/>
      <c r="DH25" s="55"/>
      <c r="DI25" s="55"/>
      <c r="DJ25" s="55"/>
      <c r="DK25" s="55"/>
      <c r="DL25" s="55"/>
      <c r="DM25" s="55"/>
      <c r="DN25" s="55"/>
      <c r="DO25" s="55"/>
      <c r="DP25" s="55"/>
      <c r="DQ25" s="55"/>
      <c r="DR25" s="55"/>
      <c r="DS25" s="55"/>
      <c r="DT25" s="55"/>
      <c r="DU25" s="55"/>
      <c r="DV25" s="55"/>
    </row>
    <row r="26" spans="1:126" ht="8" customHeight="1" x14ac:dyDescent="0.4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  <c r="AW26" s="55"/>
      <c r="AX26" s="55"/>
      <c r="AY26" s="55"/>
      <c r="AZ26" s="55"/>
      <c r="BA26" s="55"/>
      <c r="BB26" s="55"/>
      <c r="BC26" s="55"/>
      <c r="BD26" s="55"/>
      <c r="BE26" s="55"/>
      <c r="BF26" s="55"/>
      <c r="BG26" s="55"/>
      <c r="BH26" s="55"/>
      <c r="BI26" s="55"/>
      <c r="BJ26" s="55"/>
      <c r="BK26" s="55"/>
      <c r="BL26" s="55"/>
      <c r="BM26" s="55"/>
      <c r="BN26" s="55"/>
      <c r="BO26" s="55"/>
      <c r="BP26" s="55"/>
      <c r="BQ26" s="55"/>
      <c r="BR26" s="55"/>
      <c r="BS26" s="55"/>
      <c r="BT26" s="55"/>
      <c r="BU26" s="55"/>
      <c r="BV26" s="55"/>
      <c r="BW26" s="55"/>
      <c r="BX26" s="55"/>
      <c r="BY26" s="55"/>
      <c r="BZ26" s="55"/>
      <c r="CA26" s="55"/>
      <c r="CB26" s="55"/>
      <c r="CC26" s="55"/>
      <c r="CD26" s="55"/>
      <c r="CE26" s="55"/>
      <c r="CF26" s="55"/>
      <c r="CG26" s="55"/>
      <c r="CH26" s="55"/>
      <c r="CI26" s="55"/>
      <c r="CJ26" s="55"/>
      <c r="CK26" s="55"/>
      <c r="CL26" s="55"/>
      <c r="CM26" s="55"/>
      <c r="CN26" s="55"/>
      <c r="CO26" s="55"/>
      <c r="CP26" s="55"/>
      <c r="CQ26" s="55"/>
      <c r="CR26" s="55"/>
      <c r="CS26" s="55"/>
      <c r="CT26" s="55"/>
      <c r="CU26" s="55"/>
      <c r="CV26" s="55"/>
      <c r="CW26" s="55"/>
      <c r="CX26" s="55"/>
      <c r="CY26" s="55"/>
      <c r="CZ26" s="55"/>
      <c r="DA26" s="55"/>
      <c r="DB26" s="55"/>
      <c r="DC26" s="55"/>
      <c r="DD26" s="55"/>
      <c r="DE26" s="55"/>
      <c r="DF26" s="55"/>
      <c r="DG26" s="55"/>
      <c r="DH26" s="55"/>
      <c r="DI26" s="55"/>
      <c r="DJ26" s="55"/>
      <c r="DK26" s="55"/>
      <c r="DL26" s="55"/>
      <c r="DM26" s="55"/>
      <c r="DN26" s="55"/>
      <c r="DO26" s="55"/>
      <c r="DP26" s="55"/>
      <c r="DQ26" s="55"/>
      <c r="DR26" s="55"/>
      <c r="DS26" s="55"/>
      <c r="DT26" s="55"/>
      <c r="DU26" s="55"/>
      <c r="DV26" s="55"/>
    </row>
    <row r="27" spans="1:126" ht="22.05" customHeight="1" x14ac:dyDescent="0.5">
      <c r="A27" s="55"/>
      <c r="B27" s="50" t="s">
        <v>90</v>
      </c>
      <c r="C27" s="49"/>
      <c r="D27" s="49"/>
      <c r="E27" s="49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C27" s="55"/>
      <c r="BD27" s="55"/>
      <c r="BE27" s="55"/>
      <c r="BF27" s="55"/>
      <c r="BG27" s="55"/>
      <c r="BH27" s="55"/>
      <c r="BI27" s="55"/>
      <c r="BJ27" s="55"/>
      <c r="BK27" s="55"/>
      <c r="BL27" s="55"/>
      <c r="BM27" s="55"/>
      <c r="BN27" s="55"/>
      <c r="BO27" s="55"/>
      <c r="BP27" s="55"/>
      <c r="BQ27" s="55"/>
      <c r="BR27" s="55"/>
      <c r="BS27" s="55"/>
      <c r="BT27" s="55"/>
      <c r="BU27" s="55"/>
      <c r="BV27" s="55"/>
      <c r="BW27" s="55"/>
      <c r="BX27" s="55"/>
      <c r="BY27" s="55"/>
      <c r="BZ27" s="55"/>
      <c r="CA27" s="55"/>
      <c r="CB27" s="55"/>
      <c r="CC27" s="55"/>
      <c r="CD27" s="55"/>
      <c r="CE27" s="55"/>
      <c r="CF27" s="55"/>
      <c r="CG27" s="55"/>
      <c r="CH27" s="55"/>
      <c r="CI27" s="55"/>
      <c r="CJ27" s="55"/>
      <c r="CK27" s="55"/>
      <c r="CL27" s="55"/>
      <c r="CM27" s="55"/>
      <c r="CN27" s="55"/>
      <c r="CO27" s="55"/>
      <c r="CP27" s="55"/>
      <c r="CQ27" s="55"/>
      <c r="CR27" s="55"/>
      <c r="CS27" s="55"/>
      <c r="CT27" s="55"/>
      <c r="CU27" s="55"/>
      <c r="CV27" s="55"/>
      <c r="CW27" s="55"/>
      <c r="CX27" s="55"/>
      <c r="CY27" s="55"/>
      <c r="CZ27" s="55"/>
      <c r="DA27" s="55"/>
      <c r="DB27" s="55"/>
      <c r="DC27" s="55"/>
      <c r="DD27" s="55"/>
      <c r="DE27" s="55"/>
      <c r="DF27" s="55"/>
      <c r="DG27" s="55"/>
      <c r="DH27" s="55"/>
      <c r="DI27" s="55"/>
      <c r="DJ27" s="55"/>
      <c r="DK27" s="55"/>
      <c r="DL27" s="55"/>
      <c r="DM27" s="55"/>
      <c r="DN27" s="55"/>
      <c r="DO27" s="55"/>
      <c r="DP27" s="55"/>
      <c r="DQ27" s="55"/>
      <c r="DR27" s="55"/>
      <c r="DS27" s="55"/>
      <c r="DT27" s="55"/>
      <c r="DU27" s="55"/>
      <c r="DV27" s="55"/>
    </row>
    <row r="28" spans="1:126" ht="16.05" customHeight="1" x14ac:dyDescent="0.4">
      <c r="A28" s="55"/>
      <c r="B28" s="12" t="s">
        <v>91</v>
      </c>
      <c r="C28" s="55"/>
      <c r="D28" s="27">
        <v>180000</v>
      </c>
      <c r="E28" s="26" t="s">
        <v>92</v>
      </c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5"/>
      <c r="BC28" s="55"/>
      <c r="BD28" s="55"/>
      <c r="BE28" s="55"/>
      <c r="BF28" s="55"/>
      <c r="BG28" s="55"/>
      <c r="BH28" s="55"/>
      <c r="BI28" s="55"/>
      <c r="BJ28" s="55"/>
      <c r="BK28" s="55"/>
      <c r="BL28" s="55"/>
      <c r="BM28" s="55"/>
      <c r="BN28" s="55"/>
      <c r="BO28" s="55"/>
      <c r="BP28" s="55"/>
      <c r="BQ28" s="55"/>
      <c r="BR28" s="55"/>
      <c r="BS28" s="55"/>
      <c r="BT28" s="55"/>
      <c r="BU28" s="55"/>
      <c r="BV28" s="55"/>
      <c r="BW28" s="55"/>
      <c r="BX28" s="55"/>
      <c r="BY28" s="55"/>
      <c r="BZ28" s="55"/>
      <c r="CA28" s="55"/>
      <c r="CB28" s="55"/>
      <c r="CC28" s="55"/>
      <c r="CD28" s="55"/>
      <c r="CE28" s="55"/>
      <c r="CF28" s="55"/>
      <c r="CG28" s="55"/>
      <c r="CH28" s="55"/>
      <c r="CI28" s="55"/>
      <c r="CJ28" s="55"/>
      <c r="CK28" s="55"/>
      <c r="CL28" s="55"/>
      <c r="CM28" s="55"/>
      <c r="CN28" s="55"/>
      <c r="CO28" s="55"/>
      <c r="CP28" s="55"/>
      <c r="CQ28" s="55"/>
      <c r="CR28" s="55"/>
      <c r="CS28" s="55"/>
      <c r="CT28" s="55"/>
      <c r="CU28" s="55"/>
      <c r="CV28" s="55"/>
      <c r="CW28" s="55"/>
      <c r="CX28" s="55"/>
      <c r="CY28" s="55"/>
      <c r="CZ28" s="55"/>
      <c r="DA28" s="55"/>
      <c r="DB28" s="55"/>
      <c r="DC28" s="55"/>
      <c r="DD28" s="55"/>
      <c r="DE28" s="55"/>
      <c r="DF28" s="55"/>
      <c r="DG28" s="55"/>
      <c r="DH28" s="55"/>
      <c r="DI28" s="55"/>
      <c r="DJ28" s="55"/>
      <c r="DK28" s="55"/>
      <c r="DL28" s="55"/>
      <c r="DM28" s="55"/>
      <c r="DN28" s="55"/>
      <c r="DO28" s="55"/>
      <c r="DP28" s="55"/>
      <c r="DQ28" s="55"/>
      <c r="DR28" s="55"/>
      <c r="DS28" s="55"/>
      <c r="DT28" s="55"/>
      <c r="DU28" s="55"/>
      <c r="DV28" s="55"/>
    </row>
    <row r="29" spans="1:126" ht="16.05" customHeight="1" x14ac:dyDescent="0.4">
      <c r="A29" s="55"/>
      <c r="B29" s="12" t="s">
        <v>93</v>
      </c>
      <c r="C29" s="55"/>
      <c r="D29" s="28">
        <v>0.15</v>
      </c>
      <c r="E29" s="26" t="s">
        <v>94</v>
      </c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5"/>
      <c r="AW29" s="55"/>
      <c r="AX29" s="55"/>
      <c r="AY29" s="55"/>
      <c r="AZ29" s="55"/>
      <c r="BA29" s="55"/>
      <c r="BB29" s="55"/>
      <c r="BC29" s="55"/>
      <c r="BD29" s="55"/>
      <c r="BE29" s="55"/>
      <c r="BF29" s="55"/>
      <c r="BG29" s="55"/>
      <c r="BH29" s="55"/>
      <c r="BI29" s="55"/>
      <c r="BJ29" s="55"/>
      <c r="BK29" s="55"/>
      <c r="BL29" s="55"/>
      <c r="BM29" s="55"/>
      <c r="BN29" s="55"/>
      <c r="BO29" s="55"/>
      <c r="BP29" s="55"/>
      <c r="BQ29" s="55"/>
      <c r="BR29" s="55"/>
      <c r="BS29" s="55"/>
      <c r="BT29" s="55"/>
      <c r="BU29" s="55"/>
      <c r="BV29" s="55"/>
      <c r="BW29" s="55"/>
      <c r="BX29" s="55"/>
      <c r="BY29" s="55"/>
      <c r="BZ29" s="55"/>
      <c r="CA29" s="55"/>
      <c r="CB29" s="55"/>
      <c r="CC29" s="55"/>
      <c r="CD29" s="55"/>
      <c r="CE29" s="55"/>
      <c r="CF29" s="55"/>
      <c r="CG29" s="55"/>
      <c r="CH29" s="55"/>
      <c r="CI29" s="55"/>
      <c r="CJ29" s="55"/>
      <c r="CK29" s="55"/>
      <c r="CL29" s="55"/>
      <c r="CM29" s="55"/>
      <c r="CN29" s="55"/>
      <c r="CO29" s="55"/>
      <c r="CP29" s="55"/>
      <c r="CQ29" s="55"/>
      <c r="CR29" s="55"/>
      <c r="CS29" s="55"/>
      <c r="CT29" s="55"/>
      <c r="CU29" s="55"/>
      <c r="CV29" s="55"/>
      <c r="CW29" s="55"/>
      <c r="CX29" s="55"/>
      <c r="CY29" s="55"/>
      <c r="CZ29" s="55"/>
      <c r="DA29" s="55"/>
      <c r="DB29" s="55"/>
      <c r="DC29" s="55"/>
      <c r="DD29" s="55"/>
      <c r="DE29" s="55"/>
      <c r="DF29" s="55"/>
      <c r="DG29" s="55"/>
      <c r="DH29" s="55"/>
      <c r="DI29" s="55"/>
      <c r="DJ29" s="55"/>
      <c r="DK29" s="55"/>
      <c r="DL29" s="55"/>
      <c r="DM29" s="55"/>
      <c r="DN29" s="55"/>
      <c r="DO29" s="55"/>
      <c r="DP29" s="55"/>
      <c r="DQ29" s="55"/>
      <c r="DR29" s="55"/>
      <c r="DS29" s="55"/>
      <c r="DT29" s="55"/>
      <c r="DU29" s="55"/>
      <c r="DV29" s="55"/>
    </row>
    <row r="30" spans="1:126" ht="16.05" customHeight="1" x14ac:dyDescent="0.4">
      <c r="A30" s="55"/>
      <c r="B30" s="12" t="s">
        <v>95</v>
      </c>
      <c r="C30" s="55"/>
      <c r="D30" s="28">
        <v>0.03</v>
      </c>
      <c r="E30" s="26" t="s">
        <v>96</v>
      </c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5"/>
      <c r="AW30" s="55"/>
      <c r="AX30" s="55"/>
      <c r="AY30" s="55"/>
      <c r="AZ30" s="55"/>
      <c r="BA30" s="55"/>
      <c r="BB30" s="55"/>
      <c r="BC30" s="55"/>
      <c r="BD30" s="55"/>
      <c r="BE30" s="55"/>
      <c r="BF30" s="55"/>
      <c r="BG30" s="55"/>
      <c r="BH30" s="55"/>
      <c r="BI30" s="55"/>
      <c r="BJ30" s="55"/>
      <c r="BK30" s="55"/>
      <c r="BL30" s="55"/>
      <c r="BM30" s="55"/>
      <c r="BN30" s="55"/>
      <c r="BO30" s="55"/>
      <c r="BP30" s="55"/>
      <c r="BQ30" s="55"/>
      <c r="BR30" s="55"/>
      <c r="BS30" s="55"/>
      <c r="BT30" s="55"/>
      <c r="BU30" s="55"/>
      <c r="BV30" s="55"/>
      <c r="BW30" s="55"/>
      <c r="BX30" s="55"/>
      <c r="BY30" s="55"/>
      <c r="BZ30" s="55"/>
      <c r="CA30" s="55"/>
      <c r="CB30" s="55"/>
      <c r="CC30" s="55"/>
      <c r="CD30" s="55"/>
      <c r="CE30" s="55"/>
      <c r="CF30" s="55"/>
      <c r="CG30" s="55"/>
      <c r="CH30" s="55"/>
      <c r="CI30" s="55"/>
      <c r="CJ30" s="55"/>
      <c r="CK30" s="55"/>
      <c r="CL30" s="55"/>
      <c r="CM30" s="55"/>
      <c r="CN30" s="55"/>
      <c r="CO30" s="55"/>
      <c r="CP30" s="55"/>
      <c r="CQ30" s="55"/>
      <c r="CR30" s="55"/>
      <c r="CS30" s="55"/>
      <c r="CT30" s="55"/>
      <c r="CU30" s="55"/>
      <c r="CV30" s="55"/>
      <c r="CW30" s="55"/>
      <c r="CX30" s="55"/>
      <c r="CY30" s="55"/>
      <c r="CZ30" s="55"/>
      <c r="DA30" s="55"/>
      <c r="DB30" s="55"/>
      <c r="DC30" s="55"/>
      <c r="DD30" s="55"/>
      <c r="DE30" s="55"/>
      <c r="DF30" s="55"/>
      <c r="DG30" s="55"/>
      <c r="DH30" s="55"/>
      <c r="DI30" s="55"/>
      <c r="DJ30" s="55"/>
      <c r="DK30" s="55"/>
      <c r="DL30" s="55"/>
      <c r="DM30" s="55"/>
      <c r="DN30" s="55"/>
      <c r="DO30" s="55"/>
      <c r="DP30" s="55"/>
      <c r="DQ30" s="55"/>
      <c r="DR30" s="55"/>
      <c r="DS30" s="55"/>
      <c r="DT30" s="55"/>
      <c r="DU30" s="55"/>
      <c r="DV30" s="55"/>
    </row>
    <row r="31" spans="1:126" ht="16.05" customHeight="1" x14ac:dyDescent="0.4">
      <c r="A31" s="55"/>
      <c r="B31" s="12" t="s">
        <v>97</v>
      </c>
      <c r="C31" s="55"/>
      <c r="D31" s="28">
        <v>0.95</v>
      </c>
      <c r="E31" s="26" t="s">
        <v>98</v>
      </c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5"/>
      <c r="AW31" s="55"/>
      <c r="AX31" s="55"/>
      <c r="AY31" s="55"/>
      <c r="AZ31" s="55"/>
      <c r="BA31" s="55"/>
      <c r="BB31" s="55"/>
      <c r="BC31" s="55"/>
      <c r="BD31" s="55"/>
      <c r="BE31" s="55"/>
      <c r="BF31" s="55"/>
      <c r="BG31" s="55"/>
      <c r="BH31" s="55"/>
      <c r="BI31" s="55"/>
      <c r="BJ31" s="55"/>
      <c r="BK31" s="55"/>
      <c r="BL31" s="55"/>
      <c r="BM31" s="55"/>
      <c r="BN31" s="55"/>
      <c r="BO31" s="55"/>
      <c r="BP31" s="55"/>
      <c r="BQ31" s="55"/>
      <c r="BR31" s="55"/>
      <c r="BS31" s="55"/>
      <c r="BT31" s="55"/>
      <c r="BU31" s="55"/>
      <c r="BV31" s="55"/>
      <c r="BW31" s="55"/>
      <c r="BX31" s="55"/>
      <c r="BY31" s="55"/>
      <c r="BZ31" s="55"/>
      <c r="CA31" s="55"/>
      <c r="CB31" s="55"/>
      <c r="CC31" s="55"/>
      <c r="CD31" s="55"/>
      <c r="CE31" s="55"/>
      <c r="CF31" s="55"/>
      <c r="CG31" s="55"/>
      <c r="CH31" s="55"/>
      <c r="CI31" s="55"/>
      <c r="CJ31" s="55"/>
      <c r="CK31" s="55"/>
      <c r="CL31" s="55"/>
      <c r="CM31" s="55"/>
      <c r="CN31" s="55"/>
      <c r="CO31" s="55"/>
      <c r="CP31" s="55"/>
      <c r="CQ31" s="55"/>
      <c r="CR31" s="55"/>
      <c r="CS31" s="55"/>
      <c r="CT31" s="55"/>
      <c r="CU31" s="55"/>
      <c r="CV31" s="55"/>
      <c r="CW31" s="55"/>
      <c r="CX31" s="55"/>
      <c r="CY31" s="55"/>
      <c r="CZ31" s="55"/>
      <c r="DA31" s="55"/>
      <c r="DB31" s="55"/>
      <c r="DC31" s="55"/>
      <c r="DD31" s="55"/>
      <c r="DE31" s="55"/>
      <c r="DF31" s="55"/>
      <c r="DG31" s="55"/>
      <c r="DH31" s="55"/>
      <c r="DI31" s="55"/>
      <c r="DJ31" s="55"/>
      <c r="DK31" s="55"/>
      <c r="DL31" s="55"/>
      <c r="DM31" s="55"/>
      <c r="DN31" s="55"/>
      <c r="DO31" s="55"/>
      <c r="DP31" s="55"/>
      <c r="DQ31" s="55"/>
      <c r="DR31" s="55"/>
      <c r="DS31" s="55"/>
      <c r="DT31" s="55"/>
      <c r="DU31" s="55"/>
      <c r="DV31" s="55"/>
    </row>
    <row r="32" spans="1:126" ht="8" customHeight="1" x14ac:dyDescent="0.4">
      <c r="A32" s="55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  <c r="BB32" s="55"/>
      <c r="BC32" s="55"/>
      <c r="BD32" s="55"/>
      <c r="BE32" s="55"/>
      <c r="BF32" s="55"/>
      <c r="BG32" s="55"/>
      <c r="BH32" s="55"/>
      <c r="BI32" s="55"/>
      <c r="BJ32" s="55"/>
      <c r="BK32" s="55"/>
      <c r="BL32" s="55"/>
      <c r="BM32" s="55"/>
      <c r="BN32" s="55"/>
      <c r="BO32" s="55"/>
      <c r="BP32" s="55"/>
      <c r="BQ32" s="55"/>
      <c r="BR32" s="55"/>
      <c r="BS32" s="55"/>
      <c r="BT32" s="55"/>
      <c r="BU32" s="55"/>
      <c r="BV32" s="55"/>
      <c r="BW32" s="55"/>
      <c r="BX32" s="55"/>
      <c r="BY32" s="55"/>
      <c r="BZ32" s="55"/>
      <c r="CA32" s="55"/>
      <c r="CB32" s="55"/>
      <c r="CC32" s="55"/>
      <c r="CD32" s="55"/>
      <c r="CE32" s="55"/>
      <c r="CF32" s="55"/>
      <c r="CG32" s="55"/>
      <c r="CH32" s="55"/>
      <c r="CI32" s="55"/>
      <c r="CJ32" s="55"/>
      <c r="CK32" s="55"/>
      <c r="CL32" s="55"/>
      <c r="CM32" s="55"/>
      <c r="CN32" s="55"/>
      <c r="CO32" s="55"/>
      <c r="CP32" s="55"/>
      <c r="CQ32" s="55"/>
      <c r="CR32" s="55"/>
      <c r="CS32" s="55"/>
      <c r="CT32" s="55"/>
      <c r="CU32" s="55"/>
      <c r="CV32" s="55"/>
      <c r="CW32" s="55"/>
      <c r="CX32" s="55"/>
      <c r="CY32" s="55"/>
      <c r="CZ32" s="55"/>
      <c r="DA32" s="55"/>
      <c r="DB32" s="55"/>
      <c r="DC32" s="55"/>
      <c r="DD32" s="55"/>
      <c r="DE32" s="55"/>
      <c r="DF32" s="55"/>
      <c r="DG32" s="55"/>
      <c r="DH32" s="55"/>
      <c r="DI32" s="55"/>
      <c r="DJ32" s="55"/>
      <c r="DK32" s="55"/>
      <c r="DL32" s="55"/>
      <c r="DM32" s="55"/>
      <c r="DN32" s="55"/>
      <c r="DO32" s="55"/>
      <c r="DP32" s="55"/>
      <c r="DQ32" s="55"/>
      <c r="DR32" s="55"/>
      <c r="DS32" s="55"/>
      <c r="DT32" s="55"/>
      <c r="DU32" s="55"/>
      <c r="DV32" s="55"/>
    </row>
    <row r="33" spans="1:126" ht="22.05" customHeight="1" x14ac:dyDescent="0.5">
      <c r="A33" s="55"/>
      <c r="B33" s="50" t="s">
        <v>99</v>
      </c>
      <c r="C33" s="49"/>
      <c r="D33" s="49"/>
      <c r="E33" s="49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5"/>
      <c r="AW33" s="55"/>
      <c r="AX33" s="55"/>
      <c r="AY33" s="55"/>
      <c r="AZ33" s="55"/>
      <c r="BA33" s="55"/>
      <c r="BB33" s="55"/>
      <c r="BC33" s="55"/>
      <c r="BD33" s="55"/>
      <c r="BE33" s="55"/>
      <c r="BF33" s="55"/>
      <c r="BG33" s="55"/>
      <c r="BH33" s="55"/>
      <c r="BI33" s="55"/>
      <c r="BJ33" s="55"/>
      <c r="BK33" s="55"/>
      <c r="BL33" s="55"/>
      <c r="BM33" s="55"/>
      <c r="BN33" s="55"/>
      <c r="BO33" s="55"/>
      <c r="BP33" s="55"/>
      <c r="BQ33" s="55"/>
      <c r="BR33" s="55"/>
      <c r="BS33" s="55"/>
      <c r="BT33" s="55"/>
      <c r="BU33" s="55"/>
      <c r="BV33" s="55"/>
      <c r="BW33" s="55"/>
      <c r="BX33" s="55"/>
      <c r="BY33" s="55"/>
      <c r="BZ33" s="55"/>
      <c r="CA33" s="55"/>
      <c r="CB33" s="55"/>
      <c r="CC33" s="55"/>
      <c r="CD33" s="55"/>
      <c r="CE33" s="55"/>
      <c r="CF33" s="55"/>
      <c r="CG33" s="55"/>
      <c r="CH33" s="55"/>
      <c r="CI33" s="55"/>
      <c r="CJ33" s="55"/>
      <c r="CK33" s="55"/>
      <c r="CL33" s="55"/>
      <c r="CM33" s="55"/>
      <c r="CN33" s="55"/>
      <c r="CO33" s="55"/>
      <c r="CP33" s="55"/>
      <c r="CQ33" s="55"/>
      <c r="CR33" s="55"/>
      <c r="CS33" s="55"/>
      <c r="CT33" s="55"/>
      <c r="CU33" s="55"/>
      <c r="CV33" s="55"/>
      <c r="CW33" s="55"/>
      <c r="CX33" s="55"/>
      <c r="CY33" s="55"/>
      <c r="CZ33" s="55"/>
      <c r="DA33" s="55"/>
      <c r="DB33" s="55"/>
      <c r="DC33" s="55"/>
      <c r="DD33" s="55"/>
      <c r="DE33" s="55"/>
      <c r="DF33" s="55"/>
      <c r="DG33" s="55"/>
      <c r="DH33" s="55"/>
      <c r="DI33" s="55"/>
      <c r="DJ33" s="55"/>
      <c r="DK33" s="55"/>
      <c r="DL33" s="55"/>
      <c r="DM33" s="55"/>
      <c r="DN33" s="55"/>
      <c r="DO33" s="55"/>
      <c r="DP33" s="55"/>
      <c r="DQ33" s="55"/>
      <c r="DR33" s="55"/>
      <c r="DS33" s="55"/>
      <c r="DT33" s="55"/>
      <c r="DU33" s="55"/>
      <c r="DV33" s="55"/>
    </row>
    <row r="34" spans="1:126" ht="16.05" customHeight="1" x14ac:dyDescent="0.4">
      <c r="A34" s="55"/>
      <c r="B34" s="12" t="s">
        <v>100</v>
      </c>
      <c r="C34" s="55"/>
      <c r="D34" s="28">
        <v>0.2</v>
      </c>
      <c r="E34" s="26" t="s">
        <v>101</v>
      </c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5"/>
      <c r="AW34" s="55"/>
      <c r="AX34" s="55"/>
      <c r="AY34" s="55"/>
      <c r="AZ34" s="55"/>
      <c r="BA34" s="55"/>
      <c r="BB34" s="55"/>
      <c r="BC34" s="55"/>
      <c r="BD34" s="55"/>
      <c r="BE34" s="55"/>
      <c r="BF34" s="55"/>
      <c r="BG34" s="55"/>
      <c r="BH34" s="55"/>
      <c r="BI34" s="55"/>
      <c r="BJ34" s="55"/>
      <c r="BK34" s="55"/>
      <c r="BL34" s="55"/>
      <c r="BM34" s="55"/>
      <c r="BN34" s="55"/>
      <c r="BO34" s="55"/>
      <c r="BP34" s="55"/>
      <c r="BQ34" s="55"/>
      <c r="BR34" s="55"/>
      <c r="BS34" s="55"/>
      <c r="BT34" s="55"/>
      <c r="BU34" s="55"/>
      <c r="BV34" s="55"/>
      <c r="BW34" s="55"/>
      <c r="BX34" s="55"/>
      <c r="BY34" s="55"/>
      <c r="BZ34" s="55"/>
      <c r="CA34" s="55"/>
      <c r="CB34" s="55"/>
      <c r="CC34" s="55"/>
      <c r="CD34" s="55"/>
      <c r="CE34" s="55"/>
      <c r="CF34" s="55"/>
      <c r="CG34" s="55"/>
      <c r="CH34" s="55"/>
      <c r="CI34" s="55"/>
      <c r="CJ34" s="55"/>
      <c r="CK34" s="55"/>
      <c r="CL34" s="55"/>
      <c r="CM34" s="55"/>
      <c r="CN34" s="55"/>
      <c r="CO34" s="55"/>
      <c r="CP34" s="55"/>
      <c r="CQ34" s="55"/>
      <c r="CR34" s="55"/>
      <c r="CS34" s="55"/>
      <c r="CT34" s="55"/>
      <c r="CU34" s="55"/>
      <c r="CV34" s="55"/>
      <c r="CW34" s="55"/>
      <c r="CX34" s="55"/>
      <c r="CY34" s="55"/>
      <c r="CZ34" s="55"/>
      <c r="DA34" s="55"/>
      <c r="DB34" s="55"/>
      <c r="DC34" s="55"/>
      <c r="DD34" s="55"/>
      <c r="DE34" s="55"/>
      <c r="DF34" s="55"/>
      <c r="DG34" s="55"/>
      <c r="DH34" s="55"/>
      <c r="DI34" s="55"/>
      <c r="DJ34" s="55"/>
      <c r="DK34" s="55"/>
      <c r="DL34" s="55"/>
      <c r="DM34" s="55"/>
      <c r="DN34" s="55"/>
      <c r="DO34" s="55"/>
      <c r="DP34" s="55"/>
      <c r="DQ34" s="55"/>
      <c r="DR34" s="55"/>
      <c r="DS34" s="55"/>
      <c r="DT34" s="55"/>
      <c r="DU34" s="55"/>
      <c r="DV34" s="55"/>
    </row>
    <row r="35" spans="1:126" ht="16.05" customHeight="1" x14ac:dyDescent="0.4">
      <c r="A35" s="55"/>
      <c r="B35" s="12" t="s">
        <v>102</v>
      </c>
      <c r="C35" s="55"/>
      <c r="D35" s="28">
        <v>0.2</v>
      </c>
      <c r="E35" s="26" t="s">
        <v>103</v>
      </c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5"/>
      <c r="AW35" s="55"/>
      <c r="AX35" s="55"/>
      <c r="AY35" s="55"/>
      <c r="AZ35" s="55"/>
      <c r="BA35" s="55"/>
      <c r="BB35" s="55"/>
      <c r="BC35" s="55"/>
      <c r="BD35" s="55"/>
      <c r="BE35" s="55"/>
      <c r="BF35" s="55"/>
      <c r="BG35" s="55"/>
      <c r="BH35" s="55"/>
      <c r="BI35" s="55"/>
      <c r="BJ35" s="55"/>
      <c r="BK35" s="55"/>
      <c r="BL35" s="55"/>
      <c r="BM35" s="55"/>
      <c r="BN35" s="55"/>
      <c r="BO35" s="55"/>
      <c r="BP35" s="55"/>
      <c r="BQ35" s="55"/>
      <c r="BR35" s="55"/>
      <c r="BS35" s="55"/>
      <c r="BT35" s="55"/>
      <c r="BU35" s="55"/>
      <c r="BV35" s="55"/>
      <c r="BW35" s="55"/>
      <c r="BX35" s="55"/>
      <c r="BY35" s="55"/>
      <c r="BZ35" s="55"/>
      <c r="CA35" s="55"/>
      <c r="CB35" s="55"/>
      <c r="CC35" s="55"/>
      <c r="CD35" s="55"/>
      <c r="CE35" s="55"/>
      <c r="CF35" s="55"/>
      <c r="CG35" s="55"/>
      <c r="CH35" s="55"/>
      <c r="CI35" s="55"/>
      <c r="CJ35" s="55"/>
      <c r="CK35" s="55"/>
      <c r="CL35" s="55"/>
      <c r="CM35" s="55"/>
      <c r="CN35" s="55"/>
      <c r="CO35" s="55"/>
      <c r="CP35" s="55"/>
      <c r="CQ35" s="55"/>
      <c r="CR35" s="55"/>
      <c r="CS35" s="55"/>
      <c r="CT35" s="55"/>
      <c r="CU35" s="55"/>
      <c r="CV35" s="55"/>
      <c r="CW35" s="55"/>
      <c r="CX35" s="55"/>
      <c r="CY35" s="55"/>
      <c r="CZ35" s="55"/>
      <c r="DA35" s="55"/>
      <c r="DB35" s="55"/>
      <c r="DC35" s="55"/>
      <c r="DD35" s="55"/>
      <c r="DE35" s="55"/>
      <c r="DF35" s="55"/>
      <c r="DG35" s="55"/>
      <c r="DH35" s="55"/>
      <c r="DI35" s="55"/>
      <c r="DJ35" s="55"/>
      <c r="DK35" s="55"/>
      <c r="DL35" s="55"/>
      <c r="DM35" s="55"/>
      <c r="DN35" s="55"/>
      <c r="DO35" s="55"/>
      <c r="DP35" s="55"/>
      <c r="DQ35" s="55"/>
      <c r="DR35" s="55"/>
      <c r="DS35" s="55"/>
      <c r="DT35" s="55"/>
      <c r="DU35" s="55"/>
      <c r="DV35" s="55"/>
    </row>
    <row r="36" spans="1:126" ht="16.05" customHeight="1" x14ac:dyDescent="0.4">
      <c r="A36" s="55"/>
      <c r="B36" s="12" t="s">
        <v>104</v>
      </c>
      <c r="C36" s="55"/>
      <c r="D36" s="13">
        <v>6</v>
      </c>
      <c r="E36" s="26" t="s">
        <v>105</v>
      </c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/>
      <c r="AW36" s="55"/>
      <c r="AX36" s="55"/>
      <c r="AY36" s="55"/>
      <c r="AZ36" s="55"/>
      <c r="BA36" s="55"/>
      <c r="BB36" s="55"/>
      <c r="BC36" s="55"/>
      <c r="BD36" s="55"/>
      <c r="BE36" s="55"/>
      <c r="BF36" s="55"/>
      <c r="BG36" s="55"/>
      <c r="BH36" s="55"/>
      <c r="BI36" s="55"/>
      <c r="BJ36" s="55"/>
      <c r="BK36" s="55"/>
      <c r="BL36" s="55"/>
      <c r="BM36" s="55"/>
      <c r="BN36" s="55"/>
      <c r="BO36" s="55"/>
      <c r="BP36" s="55"/>
      <c r="BQ36" s="55"/>
      <c r="BR36" s="55"/>
      <c r="BS36" s="55"/>
      <c r="BT36" s="55"/>
      <c r="BU36" s="55"/>
      <c r="BV36" s="55"/>
      <c r="BW36" s="55"/>
      <c r="BX36" s="55"/>
      <c r="BY36" s="55"/>
      <c r="BZ36" s="55"/>
      <c r="CA36" s="55"/>
      <c r="CB36" s="55"/>
      <c r="CC36" s="55"/>
      <c r="CD36" s="55"/>
      <c r="CE36" s="55"/>
      <c r="CF36" s="55"/>
      <c r="CG36" s="55"/>
      <c r="CH36" s="55"/>
      <c r="CI36" s="55"/>
      <c r="CJ36" s="55"/>
      <c r="CK36" s="55"/>
      <c r="CL36" s="55"/>
      <c r="CM36" s="55"/>
      <c r="CN36" s="55"/>
      <c r="CO36" s="55"/>
      <c r="CP36" s="55"/>
      <c r="CQ36" s="55"/>
      <c r="CR36" s="55"/>
      <c r="CS36" s="55"/>
      <c r="CT36" s="55"/>
      <c r="CU36" s="55"/>
      <c r="CV36" s="55"/>
      <c r="CW36" s="55"/>
      <c r="CX36" s="55"/>
      <c r="CY36" s="55"/>
      <c r="CZ36" s="55"/>
      <c r="DA36" s="55"/>
      <c r="DB36" s="55"/>
      <c r="DC36" s="55"/>
      <c r="DD36" s="55"/>
      <c r="DE36" s="55"/>
      <c r="DF36" s="55"/>
      <c r="DG36" s="55"/>
      <c r="DH36" s="55"/>
      <c r="DI36" s="55"/>
      <c r="DJ36" s="55"/>
      <c r="DK36" s="55"/>
      <c r="DL36" s="55"/>
      <c r="DM36" s="55"/>
      <c r="DN36" s="55"/>
      <c r="DO36" s="55"/>
      <c r="DP36" s="55"/>
      <c r="DQ36" s="55"/>
      <c r="DR36" s="55"/>
      <c r="DS36" s="55"/>
      <c r="DT36" s="55"/>
      <c r="DU36" s="55"/>
      <c r="DV36" s="55"/>
    </row>
    <row r="37" spans="1:126" ht="8" customHeight="1" x14ac:dyDescent="0.4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5"/>
      <c r="AW37" s="55"/>
      <c r="AX37" s="55"/>
      <c r="AY37" s="55"/>
      <c r="AZ37" s="55"/>
      <c r="BA37" s="55"/>
      <c r="BB37" s="55"/>
      <c r="BC37" s="55"/>
      <c r="BD37" s="55"/>
      <c r="BE37" s="55"/>
      <c r="BF37" s="55"/>
      <c r="BG37" s="55"/>
      <c r="BH37" s="55"/>
      <c r="BI37" s="55"/>
      <c r="BJ37" s="55"/>
      <c r="BK37" s="55"/>
      <c r="BL37" s="55"/>
      <c r="BM37" s="55"/>
      <c r="BN37" s="55"/>
      <c r="BO37" s="55"/>
      <c r="BP37" s="55"/>
      <c r="BQ37" s="55"/>
      <c r="BR37" s="55"/>
      <c r="BS37" s="55"/>
      <c r="BT37" s="55"/>
      <c r="BU37" s="55"/>
      <c r="BV37" s="55"/>
      <c r="BW37" s="55"/>
      <c r="BX37" s="55"/>
      <c r="BY37" s="55"/>
      <c r="BZ37" s="55"/>
      <c r="CA37" s="55"/>
      <c r="CB37" s="55"/>
      <c r="CC37" s="55"/>
      <c r="CD37" s="55"/>
      <c r="CE37" s="55"/>
      <c r="CF37" s="55"/>
      <c r="CG37" s="55"/>
      <c r="CH37" s="55"/>
      <c r="CI37" s="55"/>
      <c r="CJ37" s="55"/>
      <c r="CK37" s="55"/>
      <c r="CL37" s="55"/>
      <c r="CM37" s="55"/>
      <c r="CN37" s="55"/>
      <c r="CO37" s="55"/>
      <c r="CP37" s="55"/>
      <c r="CQ37" s="55"/>
      <c r="CR37" s="55"/>
      <c r="CS37" s="55"/>
      <c r="CT37" s="55"/>
      <c r="CU37" s="55"/>
      <c r="CV37" s="55"/>
      <c r="CW37" s="55"/>
      <c r="CX37" s="55"/>
      <c r="CY37" s="55"/>
      <c r="CZ37" s="55"/>
      <c r="DA37" s="55"/>
      <c r="DB37" s="55"/>
      <c r="DC37" s="55"/>
      <c r="DD37" s="55"/>
      <c r="DE37" s="55"/>
      <c r="DF37" s="55"/>
      <c r="DG37" s="55"/>
      <c r="DH37" s="55"/>
      <c r="DI37" s="55"/>
      <c r="DJ37" s="55"/>
      <c r="DK37" s="55"/>
      <c r="DL37" s="55"/>
      <c r="DM37" s="55"/>
      <c r="DN37" s="55"/>
      <c r="DO37" s="55"/>
      <c r="DP37" s="55"/>
      <c r="DQ37" s="55"/>
      <c r="DR37" s="55"/>
      <c r="DS37" s="55"/>
      <c r="DT37" s="55"/>
      <c r="DU37" s="55"/>
      <c r="DV37" s="55"/>
    </row>
    <row r="38" spans="1:126" ht="22.05" customHeight="1" x14ac:dyDescent="0.5">
      <c r="A38" s="55"/>
      <c r="B38" s="50" t="s">
        <v>106</v>
      </c>
      <c r="C38" s="49"/>
      <c r="D38" s="49"/>
      <c r="E38" s="49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5"/>
      <c r="AW38" s="55"/>
      <c r="AX38" s="55"/>
      <c r="AY38" s="55"/>
      <c r="AZ38" s="55"/>
      <c r="BA38" s="55"/>
      <c r="BB38" s="55"/>
      <c r="BC38" s="55"/>
      <c r="BD38" s="55"/>
      <c r="BE38" s="55"/>
      <c r="BF38" s="55"/>
      <c r="BG38" s="55"/>
      <c r="BH38" s="55"/>
      <c r="BI38" s="55"/>
      <c r="BJ38" s="55"/>
      <c r="BK38" s="55"/>
      <c r="BL38" s="55"/>
      <c r="BM38" s="55"/>
      <c r="BN38" s="55"/>
      <c r="BO38" s="55"/>
      <c r="BP38" s="55"/>
      <c r="BQ38" s="55"/>
      <c r="BR38" s="55"/>
      <c r="BS38" s="55"/>
      <c r="BT38" s="55"/>
      <c r="BU38" s="55"/>
      <c r="BV38" s="55"/>
      <c r="BW38" s="55"/>
      <c r="BX38" s="55"/>
      <c r="BY38" s="55"/>
      <c r="BZ38" s="55"/>
      <c r="CA38" s="55"/>
      <c r="CB38" s="55"/>
      <c r="CC38" s="55"/>
      <c r="CD38" s="55"/>
      <c r="CE38" s="55"/>
      <c r="CF38" s="55"/>
      <c r="CG38" s="55"/>
      <c r="CH38" s="55"/>
      <c r="CI38" s="55"/>
      <c r="CJ38" s="55"/>
      <c r="CK38" s="55"/>
      <c r="CL38" s="55"/>
      <c r="CM38" s="55"/>
      <c r="CN38" s="55"/>
      <c r="CO38" s="55"/>
      <c r="CP38" s="55"/>
      <c r="CQ38" s="55"/>
      <c r="CR38" s="55"/>
      <c r="CS38" s="55"/>
      <c r="CT38" s="55"/>
      <c r="CU38" s="55"/>
      <c r="CV38" s="55"/>
      <c r="CW38" s="55"/>
      <c r="CX38" s="55"/>
      <c r="CY38" s="55"/>
      <c r="CZ38" s="55"/>
      <c r="DA38" s="55"/>
      <c r="DB38" s="55"/>
      <c r="DC38" s="55"/>
      <c r="DD38" s="55"/>
      <c r="DE38" s="55"/>
      <c r="DF38" s="55"/>
      <c r="DG38" s="55"/>
      <c r="DH38" s="55"/>
      <c r="DI38" s="55"/>
      <c r="DJ38" s="55"/>
      <c r="DK38" s="55"/>
      <c r="DL38" s="55"/>
      <c r="DM38" s="55"/>
      <c r="DN38" s="55"/>
      <c r="DO38" s="55"/>
      <c r="DP38" s="55"/>
      <c r="DQ38" s="55"/>
      <c r="DR38" s="55"/>
      <c r="DS38" s="55"/>
      <c r="DT38" s="55"/>
      <c r="DU38" s="55"/>
      <c r="DV38" s="55"/>
    </row>
    <row r="39" spans="1:126" ht="16.05" customHeight="1" x14ac:dyDescent="0.4">
      <c r="A39" s="55"/>
      <c r="B39" s="12" t="s">
        <v>107</v>
      </c>
      <c r="C39" s="55"/>
      <c r="D39" s="28">
        <v>0.65</v>
      </c>
      <c r="E39" s="26" t="s">
        <v>108</v>
      </c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55"/>
      <c r="AW39" s="55"/>
      <c r="AX39" s="55"/>
      <c r="AY39" s="55"/>
      <c r="AZ39" s="55"/>
      <c r="BA39" s="55"/>
      <c r="BB39" s="55"/>
      <c r="BC39" s="55"/>
      <c r="BD39" s="55"/>
      <c r="BE39" s="55"/>
      <c r="BF39" s="55"/>
      <c r="BG39" s="55"/>
      <c r="BH39" s="55"/>
      <c r="BI39" s="55"/>
      <c r="BJ39" s="55"/>
      <c r="BK39" s="55"/>
      <c r="BL39" s="55"/>
      <c r="BM39" s="55"/>
      <c r="BN39" s="55"/>
      <c r="BO39" s="55"/>
      <c r="BP39" s="55"/>
      <c r="BQ39" s="55"/>
      <c r="BR39" s="55"/>
      <c r="BS39" s="55"/>
      <c r="BT39" s="55"/>
      <c r="BU39" s="55"/>
      <c r="BV39" s="55"/>
      <c r="BW39" s="55"/>
      <c r="BX39" s="55"/>
      <c r="BY39" s="55"/>
      <c r="BZ39" s="55"/>
      <c r="CA39" s="55"/>
      <c r="CB39" s="55"/>
      <c r="CC39" s="55"/>
      <c r="CD39" s="55"/>
      <c r="CE39" s="55"/>
      <c r="CF39" s="55"/>
      <c r="CG39" s="55"/>
      <c r="CH39" s="55"/>
      <c r="CI39" s="55"/>
      <c r="CJ39" s="55"/>
      <c r="CK39" s="55"/>
      <c r="CL39" s="55"/>
      <c r="CM39" s="55"/>
      <c r="CN39" s="55"/>
      <c r="CO39" s="55"/>
      <c r="CP39" s="55"/>
      <c r="CQ39" s="55"/>
      <c r="CR39" s="55"/>
      <c r="CS39" s="55"/>
      <c r="CT39" s="55"/>
      <c r="CU39" s="55"/>
      <c r="CV39" s="55"/>
      <c r="CW39" s="55"/>
      <c r="CX39" s="55"/>
      <c r="CY39" s="55"/>
      <c r="CZ39" s="55"/>
      <c r="DA39" s="55"/>
      <c r="DB39" s="55"/>
      <c r="DC39" s="55"/>
      <c r="DD39" s="55"/>
      <c r="DE39" s="55"/>
      <c r="DF39" s="55"/>
      <c r="DG39" s="55"/>
      <c r="DH39" s="55"/>
      <c r="DI39" s="55"/>
      <c r="DJ39" s="55"/>
      <c r="DK39" s="55"/>
      <c r="DL39" s="55"/>
      <c r="DM39" s="55"/>
      <c r="DN39" s="55"/>
      <c r="DO39" s="55"/>
      <c r="DP39" s="55"/>
      <c r="DQ39" s="55"/>
      <c r="DR39" s="55"/>
      <c r="DS39" s="55"/>
      <c r="DT39" s="55"/>
      <c r="DU39" s="55"/>
      <c r="DV39" s="55"/>
    </row>
    <row r="40" spans="1:126" ht="16.05" customHeight="1" x14ac:dyDescent="0.4">
      <c r="A40" s="55"/>
      <c r="B40" s="12" t="s">
        <v>109</v>
      </c>
      <c r="C40" s="55"/>
      <c r="D40" s="13">
        <v>1</v>
      </c>
      <c r="E40" s="26" t="str">
        <f>IF(D40=1,"French: constant total payment",IF(D40=2,"Italian: constant principal","Bullet: interest-only, full repayment at maturity"))</f>
        <v>French: constant total payment</v>
      </c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5"/>
      <c r="AW40" s="55"/>
      <c r="AX40" s="55"/>
      <c r="AY40" s="55"/>
      <c r="AZ40" s="55"/>
      <c r="BA40" s="55"/>
      <c r="BB40" s="55"/>
      <c r="BC40" s="55"/>
      <c r="BD40" s="55"/>
      <c r="BE40" s="55"/>
      <c r="BF40" s="55"/>
      <c r="BG40" s="55"/>
      <c r="BH40" s="55"/>
      <c r="BI40" s="55"/>
      <c r="BJ40" s="55"/>
      <c r="BK40" s="55"/>
      <c r="BL40" s="55"/>
      <c r="BM40" s="55"/>
      <c r="BN40" s="55"/>
      <c r="BO40" s="55"/>
      <c r="BP40" s="55"/>
      <c r="BQ40" s="55"/>
      <c r="BR40" s="55"/>
      <c r="BS40" s="55"/>
      <c r="BT40" s="55"/>
      <c r="BU40" s="55"/>
      <c r="BV40" s="55"/>
      <c r="BW40" s="55"/>
      <c r="BX40" s="55"/>
      <c r="BY40" s="55"/>
      <c r="BZ40" s="55"/>
      <c r="CA40" s="55"/>
      <c r="CB40" s="55"/>
      <c r="CC40" s="55"/>
      <c r="CD40" s="55"/>
      <c r="CE40" s="55"/>
      <c r="CF40" s="55"/>
      <c r="CG40" s="55"/>
      <c r="CH40" s="55"/>
      <c r="CI40" s="55"/>
      <c r="CJ40" s="55"/>
      <c r="CK40" s="55"/>
      <c r="CL40" s="55"/>
      <c r="CM40" s="55"/>
      <c r="CN40" s="55"/>
      <c r="CO40" s="55"/>
      <c r="CP40" s="55"/>
      <c r="CQ40" s="55"/>
      <c r="CR40" s="55"/>
      <c r="CS40" s="55"/>
      <c r="CT40" s="55"/>
      <c r="CU40" s="55"/>
      <c r="CV40" s="55"/>
      <c r="CW40" s="55"/>
      <c r="CX40" s="55"/>
      <c r="CY40" s="55"/>
      <c r="CZ40" s="55"/>
      <c r="DA40" s="55"/>
      <c r="DB40" s="55"/>
      <c r="DC40" s="55"/>
      <c r="DD40" s="55"/>
      <c r="DE40" s="55"/>
      <c r="DF40" s="55"/>
      <c r="DG40" s="55"/>
      <c r="DH40" s="55"/>
      <c r="DI40" s="55"/>
      <c r="DJ40" s="55"/>
      <c r="DK40" s="55"/>
      <c r="DL40" s="55"/>
      <c r="DM40" s="55"/>
      <c r="DN40" s="55"/>
      <c r="DO40" s="55"/>
      <c r="DP40" s="55"/>
      <c r="DQ40" s="55"/>
      <c r="DR40" s="55"/>
      <c r="DS40" s="55"/>
      <c r="DT40" s="55"/>
      <c r="DU40" s="55"/>
      <c r="DV40" s="55"/>
    </row>
    <row r="41" spans="1:126" ht="16.05" customHeight="1" x14ac:dyDescent="0.4">
      <c r="A41" s="55"/>
      <c r="B41" s="12" t="s">
        <v>110</v>
      </c>
      <c r="C41" s="55"/>
      <c r="D41" s="19">
        <v>4.4999999999999998E-2</v>
      </c>
      <c r="E41" s="26" t="s">
        <v>111</v>
      </c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55"/>
      <c r="AL41" s="55"/>
      <c r="AM41" s="55"/>
      <c r="AN41" s="55"/>
      <c r="AO41" s="55"/>
      <c r="AP41" s="55"/>
      <c r="AQ41" s="55"/>
      <c r="AR41" s="55"/>
      <c r="AS41" s="55"/>
      <c r="AT41" s="55"/>
      <c r="AU41" s="55"/>
      <c r="AV41" s="55"/>
      <c r="AW41" s="55"/>
      <c r="AX41" s="55"/>
      <c r="AY41" s="55"/>
      <c r="AZ41" s="55"/>
      <c r="BA41" s="55"/>
      <c r="BB41" s="55"/>
      <c r="BC41" s="55"/>
      <c r="BD41" s="55"/>
      <c r="BE41" s="55"/>
      <c r="BF41" s="55"/>
      <c r="BG41" s="55"/>
      <c r="BH41" s="55"/>
      <c r="BI41" s="55"/>
      <c r="BJ41" s="55"/>
      <c r="BK41" s="55"/>
      <c r="BL41" s="55"/>
      <c r="BM41" s="55"/>
      <c r="BN41" s="55"/>
      <c r="BO41" s="55"/>
      <c r="BP41" s="55"/>
      <c r="BQ41" s="55"/>
      <c r="BR41" s="55"/>
      <c r="BS41" s="55"/>
      <c r="BT41" s="55"/>
      <c r="BU41" s="55"/>
      <c r="BV41" s="55"/>
      <c r="BW41" s="55"/>
      <c r="BX41" s="55"/>
      <c r="BY41" s="55"/>
      <c r="BZ41" s="55"/>
      <c r="CA41" s="55"/>
      <c r="CB41" s="55"/>
      <c r="CC41" s="55"/>
      <c r="CD41" s="55"/>
      <c r="CE41" s="55"/>
      <c r="CF41" s="55"/>
      <c r="CG41" s="55"/>
      <c r="CH41" s="55"/>
      <c r="CI41" s="55"/>
      <c r="CJ41" s="55"/>
      <c r="CK41" s="55"/>
      <c r="CL41" s="55"/>
      <c r="CM41" s="55"/>
      <c r="CN41" s="55"/>
      <c r="CO41" s="55"/>
      <c r="CP41" s="55"/>
      <c r="CQ41" s="55"/>
      <c r="CR41" s="55"/>
      <c r="CS41" s="55"/>
      <c r="CT41" s="55"/>
      <c r="CU41" s="55"/>
      <c r="CV41" s="55"/>
      <c r="CW41" s="55"/>
      <c r="CX41" s="55"/>
      <c r="CY41" s="55"/>
      <c r="CZ41" s="55"/>
      <c r="DA41" s="55"/>
      <c r="DB41" s="55"/>
      <c r="DC41" s="55"/>
      <c r="DD41" s="55"/>
      <c r="DE41" s="55"/>
      <c r="DF41" s="55"/>
      <c r="DG41" s="55"/>
      <c r="DH41" s="55"/>
      <c r="DI41" s="55"/>
      <c r="DJ41" s="55"/>
      <c r="DK41" s="55"/>
      <c r="DL41" s="55"/>
      <c r="DM41" s="55"/>
      <c r="DN41" s="55"/>
      <c r="DO41" s="55"/>
      <c r="DP41" s="55"/>
      <c r="DQ41" s="55"/>
      <c r="DR41" s="55"/>
      <c r="DS41" s="55"/>
      <c r="DT41" s="55"/>
      <c r="DU41" s="55"/>
      <c r="DV41" s="55"/>
    </row>
    <row r="42" spans="1:126" ht="16.05" customHeight="1" x14ac:dyDescent="0.4">
      <c r="A42" s="55"/>
      <c r="B42" s="12" t="s">
        <v>112</v>
      </c>
      <c r="C42" s="55"/>
      <c r="D42" s="13">
        <v>60</v>
      </c>
      <c r="E42" s="26" t="s">
        <v>113</v>
      </c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5"/>
      <c r="AW42" s="55"/>
      <c r="AX42" s="55"/>
      <c r="AY42" s="55"/>
      <c r="AZ42" s="55"/>
      <c r="BA42" s="55"/>
      <c r="BB42" s="55"/>
      <c r="BC42" s="55"/>
      <c r="BD42" s="55"/>
      <c r="BE42" s="55"/>
      <c r="BF42" s="55"/>
      <c r="BG42" s="55"/>
      <c r="BH42" s="55"/>
      <c r="BI42" s="55"/>
      <c r="BJ42" s="55"/>
      <c r="BK42" s="55"/>
      <c r="BL42" s="55"/>
      <c r="BM42" s="55"/>
      <c r="BN42" s="55"/>
      <c r="BO42" s="55"/>
      <c r="BP42" s="55"/>
      <c r="BQ42" s="55"/>
      <c r="BR42" s="55"/>
      <c r="BS42" s="55"/>
      <c r="BT42" s="55"/>
      <c r="BU42" s="55"/>
      <c r="BV42" s="55"/>
      <c r="BW42" s="55"/>
      <c r="BX42" s="55"/>
      <c r="BY42" s="55"/>
      <c r="BZ42" s="55"/>
      <c r="CA42" s="55"/>
      <c r="CB42" s="55"/>
      <c r="CC42" s="55"/>
      <c r="CD42" s="55"/>
      <c r="CE42" s="55"/>
      <c r="CF42" s="55"/>
      <c r="CG42" s="55"/>
      <c r="CH42" s="55"/>
      <c r="CI42" s="55"/>
      <c r="CJ42" s="55"/>
      <c r="CK42" s="55"/>
      <c r="CL42" s="55"/>
      <c r="CM42" s="55"/>
      <c r="CN42" s="55"/>
      <c r="CO42" s="55"/>
      <c r="CP42" s="55"/>
      <c r="CQ42" s="55"/>
      <c r="CR42" s="55"/>
      <c r="CS42" s="55"/>
      <c r="CT42" s="55"/>
      <c r="CU42" s="55"/>
      <c r="CV42" s="55"/>
      <c r="CW42" s="55"/>
      <c r="CX42" s="55"/>
      <c r="CY42" s="55"/>
      <c r="CZ42" s="55"/>
      <c r="DA42" s="55"/>
      <c r="DB42" s="55"/>
      <c r="DC42" s="55"/>
      <c r="DD42" s="55"/>
      <c r="DE42" s="55"/>
      <c r="DF42" s="55"/>
      <c r="DG42" s="55"/>
      <c r="DH42" s="55"/>
      <c r="DI42" s="55"/>
      <c r="DJ42" s="55"/>
      <c r="DK42" s="55"/>
      <c r="DL42" s="55"/>
      <c r="DM42" s="55"/>
      <c r="DN42" s="55"/>
      <c r="DO42" s="55"/>
      <c r="DP42" s="55"/>
      <c r="DQ42" s="55"/>
      <c r="DR42" s="55"/>
      <c r="DS42" s="55"/>
      <c r="DT42" s="55"/>
      <c r="DU42" s="55"/>
      <c r="DV42" s="55"/>
    </row>
    <row r="43" spans="1:126" ht="16.05" customHeight="1" x14ac:dyDescent="0.4">
      <c r="A43" s="55"/>
      <c r="B43" s="12" t="s">
        <v>114</v>
      </c>
      <c r="C43" s="55"/>
      <c r="D43" s="27">
        <v>500000</v>
      </c>
      <c r="E43" s="26" t="s">
        <v>115</v>
      </c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5"/>
      <c r="AR43" s="55"/>
      <c r="AS43" s="55"/>
      <c r="AT43" s="55"/>
      <c r="AU43" s="55"/>
      <c r="AV43" s="55"/>
      <c r="AW43" s="55"/>
      <c r="AX43" s="55"/>
      <c r="AY43" s="55"/>
      <c r="AZ43" s="55"/>
      <c r="BA43" s="55"/>
      <c r="BB43" s="55"/>
      <c r="BC43" s="55"/>
      <c r="BD43" s="55"/>
      <c r="BE43" s="55"/>
      <c r="BF43" s="55"/>
      <c r="BG43" s="55"/>
      <c r="BH43" s="55"/>
      <c r="BI43" s="55"/>
      <c r="BJ43" s="55"/>
      <c r="BK43" s="55"/>
      <c r="BL43" s="55"/>
      <c r="BM43" s="55"/>
      <c r="BN43" s="55"/>
      <c r="BO43" s="55"/>
      <c r="BP43" s="55"/>
      <c r="BQ43" s="55"/>
      <c r="BR43" s="55"/>
      <c r="BS43" s="55"/>
      <c r="BT43" s="55"/>
      <c r="BU43" s="55"/>
      <c r="BV43" s="55"/>
      <c r="BW43" s="55"/>
      <c r="BX43" s="55"/>
      <c r="BY43" s="55"/>
      <c r="BZ43" s="55"/>
      <c r="CA43" s="55"/>
      <c r="CB43" s="55"/>
      <c r="CC43" s="55"/>
      <c r="CD43" s="55"/>
      <c r="CE43" s="55"/>
      <c r="CF43" s="55"/>
      <c r="CG43" s="55"/>
      <c r="CH43" s="55"/>
      <c r="CI43" s="55"/>
      <c r="CJ43" s="55"/>
      <c r="CK43" s="55"/>
      <c r="CL43" s="55"/>
      <c r="CM43" s="55"/>
      <c r="CN43" s="55"/>
      <c r="CO43" s="55"/>
      <c r="CP43" s="55"/>
      <c r="CQ43" s="55"/>
      <c r="CR43" s="55"/>
      <c r="CS43" s="55"/>
      <c r="CT43" s="55"/>
      <c r="CU43" s="55"/>
      <c r="CV43" s="55"/>
      <c r="CW43" s="55"/>
      <c r="CX43" s="55"/>
      <c r="CY43" s="55"/>
      <c r="CZ43" s="55"/>
      <c r="DA43" s="55"/>
      <c r="DB43" s="55"/>
      <c r="DC43" s="55"/>
      <c r="DD43" s="55"/>
      <c r="DE43" s="55"/>
      <c r="DF43" s="55"/>
      <c r="DG43" s="55"/>
      <c r="DH43" s="55"/>
      <c r="DI43" s="55"/>
      <c r="DJ43" s="55"/>
      <c r="DK43" s="55"/>
      <c r="DL43" s="55"/>
      <c r="DM43" s="55"/>
      <c r="DN43" s="55"/>
      <c r="DO43" s="55"/>
      <c r="DP43" s="55"/>
      <c r="DQ43" s="55"/>
      <c r="DR43" s="55"/>
      <c r="DS43" s="55"/>
      <c r="DT43" s="55"/>
      <c r="DU43" s="55"/>
      <c r="DV43" s="55"/>
    </row>
    <row r="44" spans="1:126" ht="16.05" customHeight="1" x14ac:dyDescent="0.4">
      <c r="A44" s="55"/>
      <c r="B44" s="12" t="s">
        <v>116</v>
      </c>
      <c r="C44" s="55"/>
      <c r="D44" s="19">
        <v>7.0000000000000007E-2</v>
      </c>
      <c r="E44" s="26" t="s">
        <v>117</v>
      </c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5"/>
      <c r="AI44" s="55"/>
      <c r="AJ44" s="55"/>
      <c r="AK44" s="55"/>
      <c r="AL44" s="55"/>
      <c r="AM44" s="55"/>
      <c r="AN44" s="55"/>
      <c r="AO44" s="55"/>
      <c r="AP44" s="55"/>
      <c r="AQ44" s="55"/>
      <c r="AR44" s="55"/>
      <c r="AS44" s="55"/>
      <c r="AT44" s="55"/>
      <c r="AU44" s="55"/>
      <c r="AV44" s="55"/>
      <c r="AW44" s="55"/>
      <c r="AX44" s="55"/>
      <c r="AY44" s="55"/>
      <c r="AZ44" s="55"/>
      <c r="BA44" s="55"/>
      <c r="BB44" s="55"/>
      <c r="BC44" s="55"/>
      <c r="BD44" s="55"/>
      <c r="BE44" s="55"/>
      <c r="BF44" s="55"/>
      <c r="BG44" s="55"/>
      <c r="BH44" s="55"/>
      <c r="BI44" s="55"/>
      <c r="BJ44" s="55"/>
      <c r="BK44" s="55"/>
      <c r="BL44" s="55"/>
      <c r="BM44" s="55"/>
      <c r="BN44" s="55"/>
      <c r="BO44" s="55"/>
      <c r="BP44" s="55"/>
      <c r="BQ44" s="55"/>
      <c r="BR44" s="55"/>
      <c r="BS44" s="55"/>
      <c r="BT44" s="55"/>
      <c r="BU44" s="55"/>
      <c r="BV44" s="55"/>
      <c r="BW44" s="55"/>
      <c r="BX44" s="55"/>
      <c r="BY44" s="55"/>
      <c r="BZ44" s="55"/>
      <c r="CA44" s="55"/>
      <c r="CB44" s="55"/>
      <c r="CC44" s="55"/>
      <c r="CD44" s="55"/>
      <c r="CE44" s="55"/>
      <c r="CF44" s="55"/>
      <c r="CG44" s="55"/>
      <c r="CH44" s="55"/>
      <c r="CI44" s="55"/>
      <c r="CJ44" s="55"/>
      <c r="CK44" s="55"/>
      <c r="CL44" s="55"/>
      <c r="CM44" s="55"/>
      <c r="CN44" s="55"/>
      <c r="CO44" s="55"/>
      <c r="CP44" s="55"/>
      <c r="CQ44" s="55"/>
      <c r="CR44" s="55"/>
      <c r="CS44" s="55"/>
      <c r="CT44" s="55"/>
      <c r="CU44" s="55"/>
      <c r="CV44" s="55"/>
      <c r="CW44" s="55"/>
      <c r="CX44" s="55"/>
      <c r="CY44" s="55"/>
      <c r="CZ44" s="55"/>
      <c r="DA44" s="55"/>
      <c r="DB44" s="55"/>
      <c r="DC44" s="55"/>
      <c r="DD44" s="55"/>
      <c r="DE44" s="55"/>
      <c r="DF44" s="55"/>
      <c r="DG44" s="55"/>
      <c r="DH44" s="55"/>
      <c r="DI44" s="55"/>
      <c r="DJ44" s="55"/>
      <c r="DK44" s="55"/>
      <c r="DL44" s="55"/>
      <c r="DM44" s="55"/>
      <c r="DN44" s="55"/>
      <c r="DO44" s="55"/>
      <c r="DP44" s="55"/>
      <c r="DQ44" s="55"/>
      <c r="DR44" s="55"/>
      <c r="DS44" s="55"/>
      <c r="DT44" s="55"/>
      <c r="DU44" s="55"/>
      <c r="DV44" s="55"/>
    </row>
    <row r="45" spans="1:126" ht="8" customHeight="1" x14ac:dyDescent="0.4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5"/>
      <c r="AI45" s="55"/>
      <c r="AJ45" s="55"/>
      <c r="AK45" s="55"/>
      <c r="AL45" s="55"/>
      <c r="AM45" s="55"/>
      <c r="AN45" s="55"/>
      <c r="AO45" s="55"/>
      <c r="AP45" s="55"/>
      <c r="AQ45" s="55"/>
      <c r="AR45" s="55"/>
      <c r="AS45" s="55"/>
      <c r="AT45" s="55"/>
      <c r="AU45" s="55"/>
      <c r="AV45" s="55"/>
      <c r="AW45" s="55"/>
      <c r="AX45" s="55"/>
      <c r="AY45" s="55"/>
      <c r="AZ45" s="55"/>
      <c r="BA45" s="55"/>
      <c r="BB45" s="55"/>
      <c r="BC45" s="55"/>
      <c r="BD45" s="55"/>
      <c r="BE45" s="55"/>
      <c r="BF45" s="55"/>
      <c r="BG45" s="55"/>
      <c r="BH45" s="55"/>
      <c r="BI45" s="55"/>
      <c r="BJ45" s="55"/>
      <c r="BK45" s="55"/>
      <c r="BL45" s="55"/>
      <c r="BM45" s="55"/>
      <c r="BN45" s="55"/>
      <c r="BO45" s="55"/>
      <c r="BP45" s="55"/>
      <c r="BQ45" s="55"/>
      <c r="BR45" s="55"/>
      <c r="BS45" s="55"/>
      <c r="BT45" s="55"/>
      <c r="BU45" s="55"/>
      <c r="BV45" s="55"/>
      <c r="BW45" s="55"/>
      <c r="BX45" s="55"/>
      <c r="BY45" s="55"/>
      <c r="BZ45" s="55"/>
      <c r="CA45" s="55"/>
      <c r="CB45" s="55"/>
      <c r="CC45" s="55"/>
      <c r="CD45" s="55"/>
      <c r="CE45" s="55"/>
      <c r="CF45" s="55"/>
      <c r="CG45" s="55"/>
      <c r="CH45" s="55"/>
      <c r="CI45" s="55"/>
      <c r="CJ45" s="55"/>
      <c r="CK45" s="55"/>
      <c r="CL45" s="55"/>
      <c r="CM45" s="55"/>
      <c r="CN45" s="55"/>
      <c r="CO45" s="55"/>
      <c r="CP45" s="55"/>
      <c r="CQ45" s="55"/>
      <c r="CR45" s="55"/>
      <c r="CS45" s="55"/>
      <c r="CT45" s="55"/>
      <c r="CU45" s="55"/>
      <c r="CV45" s="55"/>
      <c r="CW45" s="55"/>
      <c r="CX45" s="55"/>
      <c r="CY45" s="55"/>
      <c r="CZ45" s="55"/>
      <c r="DA45" s="55"/>
      <c r="DB45" s="55"/>
      <c r="DC45" s="55"/>
      <c r="DD45" s="55"/>
      <c r="DE45" s="55"/>
      <c r="DF45" s="55"/>
      <c r="DG45" s="55"/>
      <c r="DH45" s="55"/>
      <c r="DI45" s="55"/>
      <c r="DJ45" s="55"/>
      <c r="DK45" s="55"/>
      <c r="DL45" s="55"/>
      <c r="DM45" s="55"/>
      <c r="DN45" s="55"/>
      <c r="DO45" s="55"/>
      <c r="DP45" s="55"/>
      <c r="DQ45" s="55"/>
      <c r="DR45" s="55"/>
      <c r="DS45" s="55"/>
      <c r="DT45" s="55"/>
      <c r="DU45" s="55"/>
      <c r="DV45" s="55"/>
    </row>
    <row r="46" spans="1:126" ht="22.05" customHeight="1" x14ac:dyDescent="0.5">
      <c r="A46" s="55"/>
      <c r="B46" s="50" t="s">
        <v>118</v>
      </c>
      <c r="C46" s="49"/>
      <c r="D46" s="49"/>
      <c r="E46" s="49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5"/>
      <c r="AI46" s="55"/>
      <c r="AJ46" s="55"/>
      <c r="AK46" s="55"/>
      <c r="AL46" s="55"/>
      <c r="AM46" s="55"/>
      <c r="AN46" s="55"/>
      <c r="AO46" s="55"/>
      <c r="AP46" s="55"/>
      <c r="AQ46" s="55"/>
      <c r="AR46" s="55"/>
      <c r="AS46" s="55"/>
      <c r="AT46" s="55"/>
      <c r="AU46" s="55"/>
      <c r="AV46" s="55"/>
      <c r="AW46" s="55"/>
      <c r="AX46" s="55"/>
      <c r="AY46" s="55"/>
      <c r="AZ46" s="55"/>
      <c r="BA46" s="55"/>
      <c r="BB46" s="55"/>
      <c r="BC46" s="55"/>
      <c r="BD46" s="55"/>
      <c r="BE46" s="55"/>
      <c r="BF46" s="55"/>
      <c r="BG46" s="55"/>
      <c r="BH46" s="55"/>
      <c r="BI46" s="55"/>
      <c r="BJ46" s="55"/>
      <c r="BK46" s="55"/>
      <c r="BL46" s="55"/>
      <c r="BM46" s="55"/>
      <c r="BN46" s="55"/>
      <c r="BO46" s="55"/>
      <c r="BP46" s="55"/>
      <c r="BQ46" s="55"/>
      <c r="BR46" s="55"/>
      <c r="BS46" s="55"/>
      <c r="BT46" s="55"/>
      <c r="BU46" s="55"/>
      <c r="BV46" s="55"/>
      <c r="BW46" s="55"/>
      <c r="BX46" s="55"/>
      <c r="BY46" s="55"/>
      <c r="BZ46" s="55"/>
      <c r="CA46" s="55"/>
      <c r="CB46" s="55"/>
      <c r="CC46" s="55"/>
      <c r="CD46" s="55"/>
      <c r="CE46" s="55"/>
      <c r="CF46" s="55"/>
      <c r="CG46" s="55"/>
      <c r="CH46" s="55"/>
      <c r="CI46" s="55"/>
      <c r="CJ46" s="55"/>
      <c r="CK46" s="55"/>
      <c r="CL46" s="55"/>
      <c r="CM46" s="55"/>
      <c r="CN46" s="55"/>
      <c r="CO46" s="55"/>
      <c r="CP46" s="55"/>
      <c r="CQ46" s="55"/>
      <c r="CR46" s="55"/>
      <c r="CS46" s="55"/>
      <c r="CT46" s="55"/>
      <c r="CU46" s="55"/>
      <c r="CV46" s="55"/>
      <c r="CW46" s="55"/>
      <c r="CX46" s="55"/>
      <c r="CY46" s="55"/>
      <c r="CZ46" s="55"/>
      <c r="DA46" s="55"/>
      <c r="DB46" s="55"/>
      <c r="DC46" s="55"/>
      <c r="DD46" s="55"/>
      <c r="DE46" s="55"/>
      <c r="DF46" s="55"/>
      <c r="DG46" s="55"/>
      <c r="DH46" s="55"/>
      <c r="DI46" s="55"/>
      <c r="DJ46" s="55"/>
      <c r="DK46" s="55"/>
      <c r="DL46" s="55"/>
      <c r="DM46" s="55"/>
      <c r="DN46" s="55"/>
      <c r="DO46" s="55"/>
      <c r="DP46" s="55"/>
      <c r="DQ46" s="55"/>
      <c r="DR46" s="55"/>
      <c r="DS46" s="55"/>
      <c r="DT46" s="55"/>
      <c r="DU46" s="55"/>
      <c r="DV46" s="55"/>
    </row>
    <row r="47" spans="1:126" ht="84" customHeight="1" x14ac:dyDescent="0.4">
      <c r="A47" s="55"/>
      <c r="B47" s="46" t="s">
        <v>119</v>
      </c>
      <c r="C47" s="47"/>
      <c r="D47" s="47"/>
      <c r="E47" s="47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5"/>
      <c r="AI47" s="55"/>
      <c r="AJ47" s="55"/>
      <c r="AK47" s="55"/>
      <c r="AL47" s="55"/>
      <c r="AM47" s="55"/>
      <c r="AN47" s="55"/>
      <c r="AO47" s="55"/>
      <c r="AP47" s="55"/>
      <c r="AQ47" s="55"/>
      <c r="AR47" s="55"/>
      <c r="AS47" s="55"/>
      <c r="AT47" s="55"/>
      <c r="AU47" s="55"/>
      <c r="AV47" s="55"/>
      <c r="AW47" s="55"/>
      <c r="AX47" s="55"/>
      <c r="AY47" s="55"/>
      <c r="AZ47" s="55"/>
      <c r="BA47" s="55"/>
      <c r="BB47" s="55"/>
      <c r="BC47" s="55"/>
      <c r="BD47" s="55"/>
      <c r="BE47" s="55"/>
      <c r="BF47" s="55"/>
      <c r="BG47" s="55"/>
      <c r="BH47" s="55"/>
      <c r="BI47" s="55"/>
      <c r="BJ47" s="55"/>
      <c r="BK47" s="55"/>
      <c r="BL47" s="55"/>
      <c r="BM47" s="55"/>
      <c r="BN47" s="55"/>
      <c r="BO47" s="55"/>
      <c r="BP47" s="55"/>
      <c r="BQ47" s="55"/>
      <c r="BR47" s="55"/>
      <c r="BS47" s="55"/>
      <c r="BT47" s="55"/>
      <c r="BU47" s="55"/>
      <c r="BV47" s="55"/>
      <c r="BW47" s="55"/>
      <c r="BX47" s="55"/>
      <c r="BY47" s="55"/>
      <c r="BZ47" s="55"/>
      <c r="CA47" s="55"/>
      <c r="CB47" s="55"/>
      <c r="CC47" s="55"/>
      <c r="CD47" s="55"/>
      <c r="CE47" s="55"/>
      <c r="CF47" s="55"/>
      <c r="CG47" s="55"/>
      <c r="CH47" s="55"/>
      <c r="CI47" s="55"/>
      <c r="CJ47" s="55"/>
      <c r="CK47" s="55"/>
      <c r="CL47" s="55"/>
      <c r="CM47" s="55"/>
      <c r="CN47" s="55"/>
      <c r="CO47" s="55"/>
      <c r="CP47" s="55"/>
      <c r="CQ47" s="55"/>
      <c r="CR47" s="55"/>
      <c r="CS47" s="55"/>
      <c r="CT47" s="55"/>
      <c r="CU47" s="55"/>
      <c r="CV47" s="55"/>
      <c r="CW47" s="55"/>
      <c r="CX47" s="55"/>
      <c r="CY47" s="55"/>
      <c r="CZ47" s="55"/>
      <c r="DA47" s="55"/>
      <c r="DB47" s="55"/>
      <c r="DC47" s="55"/>
      <c r="DD47" s="55"/>
      <c r="DE47" s="55"/>
      <c r="DF47" s="55"/>
      <c r="DG47" s="55"/>
      <c r="DH47" s="55"/>
      <c r="DI47" s="55"/>
      <c r="DJ47" s="55"/>
      <c r="DK47" s="55"/>
      <c r="DL47" s="55"/>
      <c r="DM47" s="55"/>
      <c r="DN47" s="55"/>
      <c r="DO47" s="55"/>
      <c r="DP47" s="55"/>
      <c r="DQ47" s="55"/>
      <c r="DR47" s="55"/>
      <c r="DS47" s="55"/>
      <c r="DT47" s="55"/>
      <c r="DU47" s="55"/>
      <c r="DV47" s="55"/>
    </row>
    <row r="48" spans="1:126" ht="16.05" customHeight="1" x14ac:dyDescent="0.4">
      <c r="A48" s="55"/>
      <c r="B48" s="47"/>
      <c r="C48" s="47"/>
      <c r="D48" s="47"/>
      <c r="E48" s="47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  <c r="AA48" s="55"/>
      <c r="AB48" s="55"/>
      <c r="AC48" s="55"/>
      <c r="AD48" s="55"/>
      <c r="AE48" s="55"/>
      <c r="AF48" s="55"/>
      <c r="AG48" s="55"/>
      <c r="AH48" s="55"/>
      <c r="AI48" s="55"/>
      <c r="AJ48" s="55"/>
      <c r="AK48" s="55"/>
      <c r="AL48" s="55"/>
      <c r="AM48" s="55"/>
      <c r="AN48" s="55"/>
      <c r="AO48" s="55"/>
      <c r="AP48" s="55"/>
      <c r="AQ48" s="55"/>
      <c r="AR48" s="55"/>
      <c r="AS48" s="55"/>
      <c r="AT48" s="55"/>
      <c r="AU48" s="55"/>
      <c r="AV48" s="55"/>
      <c r="AW48" s="55"/>
      <c r="AX48" s="55"/>
      <c r="AY48" s="55"/>
      <c r="AZ48" s="55"/>
      <c r="BA48" s="55"/>
      <c r="BB48" s="55"/>
      <c r="BC48" s="55"/>
      <c r="BD48" s="55"/>
      <c r="BE48" s="55"/>
      <c r="BF48" s="55"/>
      <c r="BG48" s="55"/>
      <c r="BH48" s="55"/>
      <c r="BI48" s="55"/>
      <c r="BJ48" s="55"/>
      <c r="BK48" s="55"/>
      <c r="BL48" s="55"/>
      <c r="BM48" s="55"/>
      <c r="BN48" s="55"/>
      <c r="BO48" s="55"/>
      <c r="BP48" s="55"/>
      <c r="BQ48" s="55"/>
      <c r="BR48" s="55"/>
      <c r="BS48" s="55"/>
      <c r="BT48" s="55"/>
      <c r="BU48" s="55"/>
      <c r="BV48" s="55"/>
      <c r="BW48" s="55"/>
      <c r="BX48" s="55"/>
      <c r="BY48" s="55"/>
      <c r="BZ48" s="55"/>
      <c r="CA48" s="55"/>
      <c r="CB48" s="55"/>
      <c r="CC48" s="55"/>
      <c r="CD48" s="55"/>
      <c r="CE48" s="55"/>
      <c r="CF48" s="55"/>
      <c r="CG48" s="55"/>
      <c r="CH48" s="55"/>
      <c r="CI48" s="55"/>
      <c r="CJ48" s="55"/>
      <c r="CK48" s="55"/>
      <c r="CL48" s="55"/>
      <c r="CM48" s="55"/>
      <c r="CN48" s="55"/>
      <c r="CO48" s="55"/>
      <c r="CP48" s="55"/>
      <c r="CQ48" s="55"/>
      <c r="CR48" s="55"/>
      <c r="CS48" s="55"/>
      <c r="CT48" s="55"/>
      <c r="CU48" s="55"/>
      <c r="CV48" s="55"/>
      <c r="CW48" s="55"/>
      <c r="CX48" s="55"/>
      <c r="CY48" s="55"/>
      <c r="CZ48" s="55"/>
      <c r="DA48" s="55"/>
      <c r="DB48" s="55"/>
      <c r="DC48" s="55"/>
      <c r="DD48" s="55"/>
      <c r="DE48" s="55"/>
      <c r="DF48" s="55"/>
      <c r="DG48" s="55"/>
      <c r="DH48" s="55"/>
      <c r="DI48" s="55"/>
      <c r="DJ48" s="55"/>
      <c r="DK48" s="55"/>
      <c r="DL48" s="55"/>
      <c r="DM48" s="55"/>
      <c r="DN48" s="55"/>
      <c r="DO48" s="55"/>
      <c r="DP48" s="55"/>
      <c r="DQ48" s="55"/>
      <c r="DR48" s="55"/>
      <c r="DS48" s="55"/>
      <c r="DT48" s="55"/>
      <c r="DU48" s="55"/>
      <c r="DV48" s="55"/>
    </row>
    <row r="49" spans="1:126" ht="16.05" customHeight="1" x14ac:dyDescent="0.4">
      <c r="A49" s="55"/>
      <c r="B49" s="47"/>
      <c r="C49" s="47"/>
      <c r="D49" s="47"/>
      <c r="E49" s="47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  <c r="AA49" s="55"/>
      <c r="AB49" s="55"/>
      <c r="AC49" s="55"/>
      <c r="AD49" s="55"/>
      <c r="AE49" s="55"/>
      <c r="AF49" s="55"/>
      <c r="AG49" s="55"/>
      <c r="AH49" s="55"/>
      <c r="AI49" s="55"/>
      <c r="AJ49" s="55"/>
      <c r="AK49" s="55"/>
      <c r="AL49" s="55"/>
      <c r="AM49" s="55"/>
      <c r="AN49" s="55"/>
      <c r="AO49" s="55"/>
      <c r="AP49" s="55"/>
      <c r="AQ49" s="55"/>
      <c r="AR49" s="55"/>
      <c r="AS49" s="55"/>
      <c r="AT49" s="55"/>
      <c r="AU49" s="55"/>
      <c r="AV49" s="55"/>
      <c r="AW49" s="55"/>
      <c r="AX49" s="55"/>
      <c r="AY49" s="55"/>
      <c r="AZ49" s="55"/>
      <c r="BA49" s="55"/>
      <c r="BB49" s="55"/>
      <c r="BC49" s="55"/>
      <c r="BD49" s="55"/>
      <c r="BE49" s="55"/>
      <c r="BF49" s="55"/>
      <c r="BG49" s="55"/>
      <c r="BH49" s="55"/>
      <c r="BI49" s="55"/>
      <c r="BJ49" s="55"/>
      <c r="BK49" s="55"/>
      <c r="BL49" s="55"/>
      <c r="BM49" s="55"/>
      <c r="BN49" s="55"/>
      <c r="BO49" s="55"/>
      <c r="BP49" s="55"/>
      <c r="BQ49" s="55"/>
      <c r="BR49" s="55"/>
      <c r="BS49" s="55"/>
      <c r="BT49" s="55"/>
      <c r="BU49" s="55"/>
      <c r="BV49" s="55"/>
      <c r="BW49" s="55"/>
      <c r="BX49" s="55"/>
      <c r="BY49" s="55"/>
      <c r="BZ49" s="55"/>
      <c r="CA49" s="55"/>
      <c r="CB49" s="55"/>
      <c r="CC49" s="55"/>
      <c r="CD49" s="55"/>
      <c r="CE49" s="55"/>
      <c r="CF49" s="55"/>
      <c r="CG49" s="55"/>
      <c r="CH49" s="55"/>
      <c r="CI49" s="55"/>
      <c r="CJ49" s="55"/>
      <c r="CK49" s="55"/>
      <c r="CL49" s="55"/>
      <c r="CM49" s="55"/>
      <c r="CN49" s="55"/>
      <c r="CO49" s="55"/>
      <c r="CP49" s="55"/>
      <c r="CQ49" s="55"/>
      <c r="CR49" s="55"/>
      <c r="CS49" s="55"/>
      <c r="CT49" s="55"/>
      <c r="CU49" s="55"/>
      <c r="CV49" s="55"/>
      <c r="CW49" s="55"/>
      <c r="CX49" s="55"/>
      <c r="CY49" s="55"/>
      <c r="CZ49" s="55"/>
      <c r="DA49" s="55"/>
      <c r="DB49" s="55"/>
      <c r="DC49" s="55"/>
      <c r="DD49" s="55"/>
      <c r="DE49" s="55"/>
      <c r="DF49" s="55"/>
      <c r="DG49" s="55"/>
      <c r="DH49" s="55"/>
      <c r="DI49" s="55"/>
      <c r="DJ49" s="55"/>
      <c r="DK49" s="55"/>
      <c r="DL49" s="55"/>
      <c r="DM49" s="55"/>
      <c r="DN49" s="55"/>
      <c r="DO49" s="55"/>
      <c r="DP49" s="55"/>
      <c r="DQ49" s="55"/>
      <c r="DR49" s="55"/>
      <c r="DS49" s="55"/>
      <c r="DT49" s="55"/>
      <c r="DU49" s="55"/>
      <c r="DV49" s="55"/>
    </row>
    <row r="50" spans="1:126" ht="16.05" customHeight="1" x14ac:dyDescent="0.4">
      <c r="A50" s="55"/>
      <c r="B50" s="47"/>
      <c r="C50" s="47"/>
      <c r="D50" s="47"/>
      <c r="E50" s="47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  <c r="AA50" s="55"/>
      <c r="AB50" s="55"/>
      <c r="AC50" s="55"/>
      <c r="AD50" s="55"/>
      <c r="AE50" s="55"/>
      <c r="AF50" s="55"/>
      <c r="AG50" s="55"/>
      <c r="AH50" s="55"/>
      <c r="AI50" s="55"/>
      <c r="AJ50" s="55"/>
      <c r="AK50" s="55"/>
      <c r="AL50" s="55"/>
      <c r="AM50" s="55"/>
      <c r="AN50" s="55"/>
      <c r="AO50" s="55"/>
      <c r="AP50" s="55"/>
      <c r="AQ50" s="55"/>
      <c r="AR50" s="55"/>
      <c r="AS50" s="55"/>
      <c r="AT50" s="55"/>
      <c r="AU50" s="55"/>
      <c r="AV50" s="55"/>
      <c r="AW50" s="55"/>
      <c r="AX50" s="55"/>
      <c r="AY50" s="55"/>
      <c r="AZ50" s="55"/>
      <c r="BA50" s="55"/>
      <c r="BB50" s="55"/>
      <c r="BC50" s="55"/>
      <c r="BD50" s="55"/>
      <c r="BE50" s="55"/>
      <c r="BF50" s="55"/>
      <c r="BG50" s="55"/>
      <c r="BH50" s="55"/>
      <c r="BI50" s="55"/>
      <c r="BJ50" s="55"/>
      <c r="BK50" s="55"/>
      <c r="BL50" s="55"/>
      <c r="BM50" s="55"/>
      <c r="BN50" s="55"/>
      <c r="BO50" s="55"/>
      <c r="BP50" s="55"/>
      <c r="BQ50" s="55"/>
      <c r="BR50" s="55"/>
      <c r="BS50" s="55"/>
      <c r="BT50" s="55"/>
      <c r="BU50" s="55"/>
      <c r="BV50" s="55"/>
      <c r="BW50" s="55"/>
      <c r="BX50" s="55"/>
      <c r="BY50" s="55"/>
      <c r="BZ50" s="55"/>
      <c r="CA50" s="55"/>
      <c r="CB50" s="55"/>
      <c r="CC50" s="55"/>
      <c r="CD50" s="55"/>
      <c r="CE50" s="55"/>
      <c r="CF50" s="55"/>
      <c r="CG50" s="55"/>
      <c r="CH50" s="55"/>
      <c r="CI50" s="55"/>
      <c r="CJ50" s="55"/>
      <c r="CK50" s="55"/>
      <c r="CL50" s="55"/>
      <c r="CM50" s="55"/>
      <c r="CN50" s="55"/>
      <c r="CO50" s="55"/>
      <c r="CP50" s="55"/>
      <c r="CQ50" s="55"/>
      <c r="CR50" s="55"/>
      <c r="CS50" s="55"/>
      <c r="CT50" s="55"/>
      <c r="CU50" s="55"/>
      <c r="CV50" s="55"/>
      <c r="CW50" s="55"/>
      <c r="CX50" s="55"/>
      <c r="CY50" s="55"/>
      <c r="CZ50" s="55"/>
      <c r="DA50" s="55"/>
      <c r="DB50" s="55"/>
      <c r="DC50" s="55"/>
      <c r="DD50" s="55"/>
      <c r="DE50" s="55"/>
      <c r="DF50" s="55"/>
      <c r="DG50" s="55"/>
      <c r="DH50" s="55"/>
      <c r="DI50" s="55"/>
      <c r="DJ50" s="55"/>
      <c r="DK50" s="55"/>
      <c r="DL50" s="55"/>
      <c r="DM50" s="55"/>
      <c r="DN50" s="55"/>
      <c r="DO50" s="55"/>
      <c r="DP50" s="55"/>
      <c r="DQ50" s="55"/>
      <c r="DR50" s="55"/>
      <c r="DS50" s="55"/>
      <c r="DT50" s="55"/>
      <c r="DU50" s="55"/>
      <c r="DV50" s="55"/>
    </row>
    <row r="51" spans="1:126" ht="16.05" customHeight="1" x14ac:dyDescent="0.4">
      <c r="A51" s="55"/>
      <c r="B51" s="47"/>
      <c r="C51" s="47"/>
      <c r="D51" s="47"/>
      <c r="E51" s="47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  <c r="AA51" s="55"/>
      <c r="AB51" s="55"/>
      <c r="AC51" s="55"/>
      <c r="AD51" s="55"/>
      <c r="AE51" s="55"/>
      <c r="AF51" s="55"/>
      <c r="AG51" s="55"/>
      <c r="AH51" s="55"/>
      <c r="AI51" s="55"/>
      <c r="AJ51" s="55"/>
      <c r="AK51" s="55"/>
      <c r="AL51" s="55"/>
      <c r="AM51" s="55"/>
      <c r="AN51" s="55"/>
      <c r="AO51" s="55"/>
      <c r="AP51" s="55"/>
      <c r="AQ51" s="55"/>
      <c r="AR51" s="55"/>
      <c r="AS51" s="55"/>
      <c r="AT51" s="55"/>
      <c r="AU51" s="55"/>
      <c r="AV51" s="55"/>
      <c r="AW51" s="55"/>
      <c r="AX51" s="55"/>
      <c r="AY51" s="55"/>
      <c r="AZ51" s="55"/>
      <c r="BA51" s="55"/>
      <c r="BB51" s="55"/>
      <c r="BC51" s="55"/>
      <c r="BD51" s="55"/>
      <c r="BE51" s="55"/>
      <c r="BF51" s="55"/>
      <c r="BG51" s="55"/>
      <c r="BH51" s="55"/>
      <c r="BI51" s="55"/>
      <c r="BJ51" s="55"/>
      <c r="BK51" s="55"/>
      <c r="BL51" s="55"/>
      <c r="BM51" s="55"/>
      <c r="BN51" s="55"/>
      <c r="BO51" s="55"/>
      <c r="BP51" s="55"/>
      <c r="BQ51" s="55"/>
      <c r="BR51" s="55"/>
      <c r="BS51" s="55"/>
      <c r="BT51" s="55"/>
      <c r="BU51" s="55"/>
      <c r="BV51" s="55"/>
      <c r="BW51" s="55"/>
      <c r="BX51" s="55"/>
      <c r="BY51" s="55"/>
      <c r="BZ51" s="55"/>
      <c r="CA51" s="55"/>
      <c r="CB51" s="55"/>
      <c r="CC51" s="55"/>
      <c r="CD51" s="55"/>
      <c r="CE51" s="55"/>
      <c r="CF51" s="55"/>
      <c r="CG51" s="55"/>
      <c r="CH51" s="55"/>
      <c r="CI51" s="55"/>
      <c r="CJ51" s="55"/>
      <c r="CK51" s="55"/>
      <c r="CL51" s="55"/>
      <c r="CM51" s="55"/>
      <c r="CN51" s="55"/>
      <c r="CO51" s="55"/>
      <c r="CP51" s="55"/>
      <c r="CQ51" s="55"/>
      <c r="CR51" s="55"/>
      <c r="CS51" s="55"/>
      <c r="CT51" s="55"/>
      <c r="CU51" s="55"/>
      <c r="CV51" s="55"/>
      <c r="CW51" s="55"/>
      <c r="CX51" s="55"/>
      <c r="CY51" s="55"/>
      <c r="CZ51" s="55"/>
      <c r="DA51" s="55"/>
      <c r="DB51" s="55"/>
      <c r="DC51" s="55"/>
      <c r="DD51" s="55"/>
      <c r="DE51" s="55"/>
      <c r="DF51" s="55"/>
      <c r="DG51" s="55"/>
      <c r="DH51" s="55"/>
      <c r="DI51" s="55"/>
      <c r="DJ51" s="55"/>
      <c r="DK51" s="55"/>
      <c r="DL51" s="55"/>
      <c r="DM51" s="55"/>
      <c r="DN51" s="55"/>
      <c r="DO51" s="55"/>
      <c r="DP51" s="55"/>
      <c r="DQ51" s="55"/>
      <c r="DR51" s="55"/>
      <c r="DS51" s="55"/>
      <c r="DT51" s="55"/>
      <c r="DU51" s="55"/>
      <c r="DV51" s="55"/>
    </row>
    <row r="52" spans="1:126" ht="16.05" customHeight="1" x14ac:dyDescent="0.4">
      <c r="A52" s="55"/>
      <c r="B52" s="47"/>
      <c r="C52" s="47"/>
      <c r="D52" s="47"/>
      <c r="E52" s="47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5"/>
      <c r="AR52" s="55"/>
      <c r="AS52" s="55"/>
      <c r="AT52" s="55"/>
      <c r="AU52" s="55"/>
      <c r="AV52" s="55"/>
      <c r="AW52" s="55"/>
      <c r="AX52" s="55"/>
      <c r="AY52" s="55"/>
      <c r="AZ52" s="55"/>
      <c r="BA52" s="55"/>
      <c r="BB52" s="55"/>
      <c r="BC52" s="55"/>
      <c r="BD52" s="55"/>
      <c r="BE52" s="55"/>
      <c r="BF52" s="55"/>
      <c r="BG52" s="55"/>
      <c r="BH52" s="55"/>
      <c r="BI52" s="55"/>
      <c r="BJ52" s="55"/>
      <c r="BK52" s="55"/>
      <c r="BL52" s="55"/>
      <c r="BM52" s="55"/>
      <c r="BN52" s="55"/>
      <c r="BO52" s="55"/>
      <c r="BP52" s="55"/>
      <c r="BQ52" s="55"/>
      <c r="BR52" s="55"/>
      <c r="BS52" s="55"/>
      <c r="BT52" s="55"/>
      <c r="BU52" s="55"/>
      <c r="BV52" s="55"/>
      <c r="BW52" s="55"/>
      <c r="BX52" s="55"/>
      <c r="BY52" s="55"/>
      <c r="BZ52" s="55"/>
      <c r="CA52" s="55"/>
      <c r="CB52" s="55"/>
      <c r="CC52" s="55"/>
      <c r="CD52" s="55"/>
      <c r="CE52" s="55"/>
      <c r="CF52" s="55"/>
      <c r="CG52" s="55"/>
      <c r="CH52" s="55"/>
      <c r="CI52" s="55"/>
      <c r="CJ52" s="55"/>
      <c r="CK52" s="55"/>
      <c r="CL52" s="55"/>
      <c r="CM52" s="55"/>
      <c r="CN52" s="55"/>
      <c r="CO52" s="55"/>
      <c r="CP52" s="55"/>
      <c r="CQ52" s="55"/>
      <c r="CR52" s="55"/>
      <c r="CS52" s="55"/>
      <c r="CT52" s="55"/>
      <c r="CU52" s="55"/>
      <c r="CV52" s="55"/>
      <c r="CW52" s="55"/>
      <c r="CX52" s="55"/>
      <c r="CY52" s="55"/>
      <c r="CZ52" s="55"/>
      <c r="DA52" s="55"/>
      <c r="DB52" s="55"/>
      <c r="DC52" s="55"/>
      <c r="DD52" s="55"/>
      <c r="DE52" s="55"/>
      <c r="DF52" s="55"/>
      <c r="DG52" s="55"/>
      <c r="DH52" s="55"/>
      <c r="DI52" s="55"/>
      <c r="DJ52" s="55"/>
      <c r="DK52" s="55"/>
      <c r="DL52" s="55"/>
      <c r="DM52" s="55"/>
      <c r="DN52" s="55"/>
      <c r="DO52" s="55"/>
      <c r="DP52" s="55"/>
      <c r="DQ52" s="55"/>
      <c r="DR52" s="55"/>
      <c r="DS52" s="55"/>
      <c r="DT52" s="55"/>
      <c r="DU52" s="55"/>
      <c r="DV52" s="55"/>
    </row>
    <row r="53" spans="1:126" x14ac:dyDescent="0.4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  <c r="BW53" s="55"/>
      <c r="BX53" s="55"/>
      <c r="BY53" s="55"/>
      <c r="BZ53" s="55"/>
      <c r="CA53" s="55"/>
      <c r="CB53" s="55"/>
      <c r="CC53" s="55"/>
      <c r="CD53" s="55"/>
      <c r="CE53" s="55"/>
      <c r="CF53" s="55"/>
      <c r="CG53" s="55"/>
      <c r="CH53" s="55"/>
      <c r="CI53" s="55"/>
      <c r="CJ53" s="55"/>
      <c r="CK53" s="55"/>
      <c r="CL53" s="55"/>
      <c r="CM53" s="55"/>
      <c r="CN53" s="55"/>
      <c r="CO53" s="55"/>
      <c r="CP53" s="55"/>
      <c r="CQ53" s="55"/>
      <c r="CR53" s="55"/>
      <c r="CS53" s="55"/>
      <c r="CT53" s="55"/>
      <c r="CU53" s="55"/>
      <c r="CV53" s="55"/>
      <c r="CW53" s="55"/>
      <c r="CX53" s="55"/>
      <c r="CY53" s="55"/>
      <c r="CZ53" s="55"/>
      <c r="DA53" s="55"/>
      <c r="DB53" s="55"/>
      <c r="DC53" s="55"/>
      <c r="DD53" s="55"/>
      <c r="DE53" s="55"/>
      <c r="DF53" s="55"/>
      <c r="DG53" s="55"/>
      <c r="DH53" s="55"/>
      <c r="DI53" s="55"/>
      <c r="DJ53" s="55"/>
      <c r="DK53" s="55"/>
      <c r="DL53" s="55"/>
      <c r="DM53" s="55"/>
      <c r="DN53" s="55"/>
      <c r="DO53" s="55"/>
      <c r="DP53" s="55"/>
      <c r="DQ53" s="55"/>
      <c r="DR53" s="55"/>
      <c r="DS53" s="55"/>
      <c r="DT53" s="55"/>
      <c r="DU53" s="55"/>
      <c r="DV53" s="55"/>
    </row>
    <row r="54" spans="1:126" x14ac:dyDescent="0.4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AO54" s="55"/>
      <c r="AP54" s="55"/>
      <c r="AQ54" s="55"/>
      <c r="AR54" s="55"/>
      <c r="AS54" s="55"/>
      <c r="AT54" s="55"/>
      <c r="AU54" s="55"/>
      <c r="AV54" s="55"/>
      <c r="AW54" s="55"/>
      <c r="AX54" s="55"/>
      <c r="AY54" s="55"/>
      <c r="AZ54" s="55"/>
      <c r="BA54" s="55"/>
      <c r="BB54" s="55"/>
      <c r="BC54" s="55"/>
      <c r="BD54" s="55"/>
      <c r="BE54" s="55"/>
      <c r="BF54" s="55"/>
      <c r="BG54" s="55"/>
      <c r="BH54" s="55"/>
      <c r="BI54" s="55"/>
      <c r="BJ54" s="55"/>
      <c r="BK54" s="55"/>
      <c r="BL54" s="55"/>
      <c r="BM54" s="55"/>
      <c r="BN54" s="55"/>
      <c r="BO54" s="55"/>
      <c r="BP54" s="55"/>
      <c r="BQ54" s="55"/>
      <c r="BR54" s="55"/>
      <c r="BS54" s="55"/>
      <c r="BT54" s="55"/>
      <c r="BU54" s="55"/>
      <c r="BV54" s="55"/>
      <c r="BW54" s="55"/>
      <c r="BX54" s="55"/>
      <c r="BY54" s="55"/>
      <c r="BZ54" s="55"/>
      <c r="CA54" s="55"/>
      <c r="CB54" s="55"/>
      <c r="CC54" s="55"/>
      <c r="CD54" s="55"/>
      <c r="CE54" s="55"/>
      <c r="CF54" s="55"/>
      <c r="CG54" s="55"/>
      <c r="CH54" s="55"/>
      <c r="CI54" s="55"/>
      <c r="CJ54" s="55"/>
      <c r="CK54" s="55"/>
      <c r="CL54" s="55"/>
      <c r="CM54" s="55"/>
      <c r="CN54" s="55"/>
      <c r="CO54" s="55"/>
      <c r="CP54" s="55"/>
      <c r="CQ54" s="55"/>
      <c r="CR54" s="55"/>
      <c r="CS54" s="55"/>
      <c r="CT54" s="55"/>
      <c r="CU54" s="55"/>
      <c r="CV54" s="55"/>
      <c r="CW54" s="55"/>
      <c r="CX54" s="55"/>
      <c r="CY54" s="55"/>
      <c r="CZ54" s="55"/>
      <c r="DA54" s="55"/>
      <c r="DB54" s="55"/>
      <c r="DC54" s="55"/>
      <c r="DD54" s="55"/>
      <c r="DE54" s="55"/>
      <c r="DF54" s="55"/>
      <c r="DG54" s="55"/>
      <c r="DH54" s="55"/>
      <c r="DI54" s="55"/>
      <c r="DJ54" s="55"/>
      <c r="DK54" s="55"/>
      <c r="DL54" s="55"/>
      <c r="DM54" s="55"/>
      <c r="DN54" s="55"/>
      <c r="DO54" s="55"/>
      <c r="DP54" s="55"/>
      <c r="DQ54" s="55"/>
      <c r="DR54" s="55"/>
      <c r="DS54" s="55"/>
      <c r="DT54" s="55"/>
      <c r="DU54" s="55"/>
      <c r="DV54" s="55"/>
    </row>
    <row r="55" spans="1:126" x14ac:dyDescent="0.4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  <c r="AG55" s="55"/>
      <c r="AH55" s="55"/>
      <c r="AI55" s="55"/>
      <c r="AJ55" s="55"/>
      <c r="AK55" s="55"/>
      <c r="AL55" s="55"/>
      <c r="AM55" s="55"/>
      <c r="AN55" s="55"/>
      <c r="AO55" s="55"/>
      <c r="AP55" s="55"/>
      <c r="AQ55" s="55"/>
      <c r="AR55" s="55"/>
      <c r="AS55" s="55"/>
      <c r="AT55" s="55"/>
      <c r="AU55" s="55"/>
      <c r="AV55" s="55"/>
      <c r="AW55" s="55"/>
      <c r="AX55" s="55"/>
      <c r="AY55" s="55"/>
      <c r="AZ55" s="55"/>
      <c r="BA55" s="55"/>
      <c r="BB55" s="55"/>
      <c r="BC55" s="55"/>
      <c r="BD55" s="55"/>
      <c r="BE55" s="55"/>
      <c r="BF55" s="55"/>
      <c r="BG55" s="55"/>
      <c r="BH55" s="55"/>
      <c r="BI55" s="55"/>
      <c r="BJ55" s="55"/>
      <c r="BK55" s="55"/>
      <c r="BL55" s="55"/>
      <c r="BM55" s="55"/>
      <c r="BN55" s="55"/>
      <c r="BO55" s="55"/>
      <c r="BP55" s="55"/>
      <c r="BQ55" s="55"/>
      <c r="BR55" s="55"/>
      <c r="BS55" s="55"/>
      <c r="BT55" s="55"/>
      <c r="BU55" s="55"/>
      <c r="BV55" s="55"/>
      <c r="BW55" s="55"/>
      <c r="BX55" s="55"/>
      <c r="BY55" s="55"/>
      <c r="BZ55" s="55"/>
      <c r="CA55" s="55"/>
      <c r="CB55" s="55"/>
      <c r="CC55" s="55"/>
      <c r="CD55" s="55"/>
      <c r="CE55" s="55"/>
      <c r="CF55" s="55"/>
      <c r="CG55" s="55"/>
      <c r="CH55" s="55"/>
      <c r="CI55" s="55"/>
      <c r="CJ55" s="55"/>
      <c r="CK55" s="55"/>
      <c r="CL55" s="55"/>
      <c r="CM55" s="55"/>
      <c r="CN55" s="55"/>
      <c r="CO55" s="55"/>
      <c r="CP55" s="55"/>
      <c r="CQ55" s="55"/>
      <c r="CR55" s="55"/>
      <c r="CS55" s="55"/>
      <c r="CT55" s="55"/>
      <c r="CU55" s="55"/>
      <c r="CV55" s="55"/>
      <c r="CW55" s="55"/>
      <c r="CX55" s="55"/>
      <c r="CY55" s="55"/>
      <c r="CZ55" s="55"/>
      <c r="DA55" s="55"/>
      <c r="DB55" s="55"/>
      <c r="DC55" s="55"/>
      <c r="DD55" s="55"/>
      <c r="DE55" s="55"/>
      <c r="DF55" s="55"/>
      <c r="DG55" s="55"/>
      <c r="DH55" s="55"/>
      <c r="DI55" s="55"/>
      <c r="DJ55" s="55"/>
      <c r="DK55" s="55"/>
      <c r="DL55" s="55"/>
      <c r="DM55" s="55"/>
      <c r="DN55" s="55"/>
      <c r="DO55" s="55"/>
      <c r="DP55" s="55"/>
      <c r="DQ55" s="55"/>
      <c r="DR55" s="55"/>
      <c r="DS55" s="55"/>
      <c r="DT55" s="55"/>
      <c r="DU55" s="55"/>
      <c r="DV55" s="55"/>
    </row>
    <row r="56" spans="1:126" x14ac:dyDescent="0.4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5"/>
      <c r="AW56" s="55"/>
      <c r="AX56" s="55"/>
      <c r="AY56" s="55"/>
      <c r="AZ56" s="55"/>
      <c r="BA56" s="55"/>
      <c r="BB56" s="55"/>
      <c r="BC56" s="55"/>
      <c r="BD56" s="55"/>
      <c r="BE56" s="55"/>
      <c r="BF56" s="55"/>
      <c r="BG56" s="55"/>
      <c r="BH56" s="55"/>
      <c r="BI56" s="55"/>
      <c r="BJ56" s="55"/>
      <c r="BK56" s="55"/>
      <c r="BL56" s="55"/>
      <c r="BM56" s="55"/>
      <c r="BN56" s="55"/>
      <c r="BO56" s="55"/>
      <c r="BP56" s="55"/>
      <c r="BQ56" s="55"/>
      <c r="BR56" s="55"/>
      <c r="BS56" s="55"/>
      <c r="BT56" s="55"/>
      <c r="BU56" s="55"/>
      <c r="BV56" s="55"/>
      <c r="BW56" s="55"/>
      <c r="BX56" s="55"/>
      <c r="BY56" s="55"/>
      <c r="BZ56" s="55"/>
      <c r="CA56" s="55"/>
      <c r="CB56" s="55"/>
      <c r="CC56" s="55"/>
      <c r="CD56" s="55"/>
      <c r="CE56" s="55"/>
      <c r="CF56" s="55"/>
      <c r="CG56" s="55"/>
      <c r="CH56" s="55"/>
      <c r="CI56" s="55"/>
      <c r="CJ56" s="55"/>
      <c r="CK56" s="55"/>
      <c r="CL56" s="55"/>
      <c r="CM56" s="55"/>
      <c r="CN56" s="55"/>
      <c r="CO56" s="55"/>
      <c r="CP56" s="55"/>
      <c r="CQ56" s="55"/>
      <c r="CR56" s="55"/>
      <c r="CS56" s="55"/>
      <c r="CT56" s="55"/>
      <c r="CU56" s="55"/>
      <c r="CV56" s="55"/>
      <c r="CW56" s="55"/>
      <c r="CX56" s="55"/>
      <c r="CY56" s="55"/>
      <c r="CZ56" s="55"/>
      <c r="DA56" s="55"/>
      <c r="DB56" s="55"/>
      <c r="DC56" s="55"/>
      <c r="DD56" s="55"/>
      <c r="DE56" s="55"/>
      <c r="DF56" s="55"/>
      <c r="DG56" s="55"/>
      <c r="DH56" s="55"/>
      <c r="DI56" s="55"/>
      <c r="DJ56" s="55"/>
      <c r="DK56" s="55"/>
      <c r="DL56" s="55"/>
      <c r="DM56" s="55"/>
      <c r="DN56" s="55"/>
      <c r="DO56" s="55"/>
      <c r="DP56" s="55"/>
      <c r="DQ56" s="55"/>
      <c r="DR56" s="55"/>
      <c r="DS56" s="55"/>
      <c r="DT56" s="55"/>
      <c r="DU56" s="55"/>
      <c r="DV56" s="55"/>
    </row>
    <row r="57" spans="1:126" x14ac:dyDescent="0.4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  <c r="AG57" s="55"/>
      <c r="AH57" s="55"/>
      <c r="AI57" s="55"/>
      <c r="AJ57" s="55"/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55"/>
      <c r="AV57" s="55"/>
      <c r="AW57" s="55"/>
      <c r="AX57" s="55"/>
      <c r="AY57" s="55"/>
      <c r="AZ57" s="55"/>
      <c r="BA57" s="55"/>
      <c r="BB57" s="55"/>
      <c r="BC57" s="55"/>
      <c r="BD57" s="55"/>
      <c r="BE57" s="55"/>
      <c r="BF57" s="55"/>
      <c r="BG57" s="55"/>
      <c r="BH57" s="55"/>
      <c r="BI57" s="55"/>
      <c r="BJ57" s="55"/>
      <c r="BK57" s="55"/>
      <c r="BL57" s="55"/>
      <c r="BM57" s="55"/>
      <c r="BN57" s="55"/>
      <c r="BO57" s="55"/>
      <c r="BP57" s="55"/>
      <c r="BQ57" s="55"/>
      <c r="BR57" s="55"/>
      <c r="BS57" s="55"/>
      <c r="BT57" s="55"/>
      <c r="BU57" s="55"/>
      <c r="BV57" s="55"/>
      <c r="BW57" s="55"/>
      <c r="BX57" s="55"/>
      <c r="BY57" s="55"/>
      <c r="BZ57" s="55"/>
      <c r="CA57" s="55"/>
      <c r="CB57" s="55"/>
      <c r="CC57" s="55"/>
      <c r="CD57" s="55"/>
      <c r="CE57" s="55"/>
      <c r="CF57" s="55"/>
      <c r="CG57" s="55"/>
      <c r="CH57" s="55"/>
      <c r="CI57" s="55"/>
      <c r="CJ57" s="55"/>
      <c r="CK57" s="55"/>
      <c r="CL57" s="55"/>
      <c r="CM57" s="55"/>
      <c r="CN57" s="55"/>
      <c r="CO57" s="55"/>
      <c r="CP57" s="55"/>
      <c r="CQ57" s="55"/>
      <c r="CR57" s="55"/>
      <c r="CS57" s="55"/>
      <c r="CT57" s="55"/>
      <c r="CU57" s="55"/>
      <c r="CV57" s="55"/>
      <c r="CW57" s="55"/>
      <c r="CX57" s="55"/>
      <c r="CY57" s="55"/>
      <c r="CZ57" s="55"/>
      <c r="DA57" s="55"/>
      <c r="DB57" s="55"/>
      <c r="DC57" s="55"/>
      <c r="DD57" s="55"/>
      <c r="DE57" s="55"/>
      <c r="DF57" s="55"/>
      <c r="DG57" s="55"/>
      <c r="DH57" s="55"/>
      <c r="DI57" s="55"/>
      <c r="DJ57" s="55"/>
      <c r="DK57" s="55"/>
      <c r="DL57" s="55"/>
      <c r="DM57" s="55"/>
      <c r="DN57" s="55"/>
      <c r="DO57" s="55"/>
      <c r="DP57" s="55"/>
      <c r="DQ57" s="55"/>
      <c r="DR57" s="55"/>
      <c r="DS57" s="55"/>
      <c r="DT57" s="55"/>
      <c r="DU57" s="55"/>
      <c r="DV57" s="55"/>
    </row>
    <row r="58" spans="1:126" x14ac:dyDescent="0.4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  <c r="AG58" s="55"/>
      <c r="AH58" s="55"/>
      <c r="AI58" s="55"/>
      <c r="AJ58" s="55"/>
      <c r="AK58" s="55"/>
      <c r="AL58" s="55"/>
      <c r="AM58" s="55"/>
      <c r="AN58" s="55"/>
      <c r="AO58" s="55"/>
      <c r="AP58" s="55"/>
      <c r="AQ58" s="55"/>
      <c r="AR58" s="55"/>
      <c r="AS58" s="55"/>
      <c r="AT58" s="55"/>
      <c r="AU58" s="55"/>
      <c r="AV58" s="55"/>
      <c r="AW58" s="55"/>
      <c r="AX58" s="55"/>
      <c r="AY58" s="55"/>
      <c r="AZ58" s="55"/>
      <c r="BA58" s="55"/>
      <c r="BB58" s="55"/>
      <c r="BC58" s="55"/>
      <c r="BD58" s="55"/>
      <c r="BE58" s="55"/>
      <c r="BF58" s="55"/>
      <c r="BG58" s="55"/>
      <c r="BH58" s="55"/>
      <c r="BI58" s="55"/>
      <c r="BJ58" s="55"/>
      <c r="BK58" s="55"/>
      <c r="BL58" s="55"/>
      <c r="BM58" s="55"/>
      <c r="BN58" s="55"/>
      <c r="BO58" s="55"/>
      <c r="BP58" s="55"/>
      <c r="BQ58" s="55"/>
      <c r="BR58" s="55"/>
      <c r="BS58" s="55"/>
      <c r="BT58" s="55"/>
      <c r="BU58" s="55"/>
      <c r="BV58" s="55"/>
      <c r="BW58" s="55"/>
      <c r="BX58" s="55"/>
      <c r="BY58" s="55"/>
      <c r="BZ58" s="55"/>
      <c r="CA58" s="55"/>
      <c r="CB58" s="55"/>
      <c r="CC58" s="55"/>
      <c r="CD58" s="55"/>
      <c r="CE58" s="55"/>
      <c r="CF58" s="55"/>
      <c r="CG58" s="55"/>
      <c r="CH58" s="55"/>
      <c r="CI58" s="55"/>
      <c r="CJ58" s="55"/>
      <c r="CK58" s="55"/>
      <c r="CL58" s="55"/>
      <c r="CM58" s="55"/>
      <c r="CN58" s="55"/>
      <c r="CO58" s="55"/>
      <c r="CP58" s="55"/>
      <c r="CQ58" s="55"/>
      <c r="CR58" s="55"/>
      <c r="CS58" s="55"/>
      <c r="CT58" s="55"/>
      <c r="CU58" s="55"/>
      <c r="CV58" s="55"/>
      <c r="CW58" s="55"/>
      <c r="CX58" s="55"/>
      <c r="CY58" s="55"/>
      <c r="CZ58" s="55"/>
      <c r="DA58" s="55"/>
      <c r="DB58" s="55"/>
      <c r="DC58" s="55"/>
      <c r="DD58" s="55"/>
      <c r="DE58" s="55"/>
      <c r="DF58" s="55"/>
      <c r="DG58" s="55"/>
      <c r="DH58" s="55"/>
      <c r="DI58" s="55"/>
      <c r="DJ58" s="55"/>
      <c r="DK58" s="55"/>
      <c r="DL58" s="55"/>
      <c r="DM58" s="55"/>
      <c r="DN58" s="55"/>
      <c r="DO58" s="55"/>
      <c r="DP58" s="55"/>
      <c r="DQ58" s="55"/>
      <c r="DR58" s="55"/>
      <c r="DS58" s="55"/>
      <c r="DT58" s="55"/>
      <c r="DU58" s="55"/>
      <c r="DV58" s="55"/>
    </row>
    <row r="59" spans="1:126" x14ac:dyDescent="0.4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55"/>
      <c r="AW59" s="55"/>
      <c r="AX59" s="55"/>
      <c r="AY59" s="55"/>
      <c r="AZ59" s="55"/>
      <c r="BA59" s="55"/>
      <c r="BB59" s="55"/>
      <c r="BC59" s="55"/>
      <c r="BD59" s="55"/>
      <c r="BE59" s="55"/>
      <c r="BF59" s="55"/>
      <c r="BG59" s="55"/>
      <c r="BH59" s="55"/>
      <c r="BI59" s="55"/>
      <c r="BJ59" s="55"/>
      <c r="BK59" s="55"/>
      <c r="BL59" s="55"/>
      <c r="BM59" s="55"/>
      <c r="BN59" s="55"/>
      <c r="BO59" s="55"/>
      <c r="BP59" s="55"/>
      <c r="BQ59" s="55"/>
      <c r="BR59" s="55"/>
      <c r="BS59" s="55"/>
      <c r="BT59" s="55"/>
      <c r="BU59" s="55"/>
      <c r="BV59" s="55"/>
      <c r="BW59" s="55"/>
      <c r="BX59" s="55"/>
      <c r="BY59" s="55"/>
      <c r="BZ59" s="55"/>
      <c r="CA59" s="55"/>
      <c r="CB59" s="55"/>
      <c r="CC59" s="55"/>
      <c r="CD59" s="55"/>
      <c r="CE59" s="55"/>
      <c r="CF59" s="55"/>
      <c r="CG59" s="55"/>
      <c r="CH59" s="55"/>
      <c r="CI59" s="55"/>
      <c r="CJ59" s="55"/>
      <c r="CK59" s="55"/>
      <c r="CL59" s="55"/>
      <c r="CM59" s="55"/>
      <c r="CN59" s="55"/>
      <c r="CO59" s="55"/>
      <c r="CP59" s="55"/>
      <c r="CQ59" s="55"/>
      <c r="CR59" s="55"/>
      <c r="CS59" s="55"/>
      <c r="CT59" s="55"/>
      <c r="CU59" s="55"/>
      <c r="CV59" s="55"/>
      <c r="CW59" s="55"/>
      <c r="CX59" s="55"/>
      <c r="CY59" s="55"/>
      <c r="CZ59" s="55"/>
      <c r="DA59" s="55"/>
      <c r="DB59" s="55"/>
      <c r="DC59" s="55"/>
      <c r="DD59" s="55"/>
      <c r="DE59" s="55"/>
      <c r="DF59" s="55"/>
      <c r="DG59" s="55"/>
      <c r="DH59" s="55"/>
      <c r="DI59" s="55"/>
      <c r="DJ59" s="55"/>
      <c r="DK59" s="55"/>
      <c r="DL59" s="55"/>
      <c r="DM59" s="55"/>
      <c r="DN59" s="55"/>
      <c r="DO59" s="55"/>
      <c r="DP59" s="55"/>
      <c r="DQ59" s="55"/>
      <c r="DR59" s="55"/>
      <c r="DS59" s="55"/>
      <c r="DT59" s="55"/>
      <c r="DU59" s="55"/>
      <c r="DV59" s="55"/>
    </row>
    <row r="60" spans="1:126" x14ac:dyDescent="0.4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  <c r="AG60" s="55"/>
      <c r="AH60" s="55"/>
      <c r="AI60" s="55"/>
      <c r="AJ60" s="55"/>
      <c r="AK60" s="55"/>
      <c r="AL60" s="55"/>
      <c r="AM60" s="55"/>
      <c r="AN60" s="55"/>
      <c r="AO60" s="55"/>
      <c r="AP60" s="55"/>
      <c r="AQ60" s="55"/>
      <c r="AR60" s="55"/>
      <c r="AS60" s="55"/>
      <c r="AT60" s="55"/>
      <c r="AU60" s="55"/>
      <c r="AV60" s="55"/>
      <c r="AW60" s="55"/>
      <c r="AX60" s="55"/>
      <c r="AY60" s="55"/>
      <c r="AZ60" s="55"/>
      <c r="BA60" s="55"/>
      <c r="BB60" s="55"/>
      <c r="BC60" s="55"/>
      <c r="BD60" s="55"/>
      <c r="BE60" s="55"/>
      <c r="BF60" s="55"/>
      <c r="BG60" s="55"/>
      <c r="BH60" s="55"/>
      <c r="BI60" s="55"/>
      <c r="BJ60" s="55"/>
      <c r="BK60" s="55"/>
      <c r="BL60" s="55"/>
      <c r="BM60" s="55"/>
      <c r="BN60" s="55"/>
      <c r="BO60" s="55"/>
      <c r="BP60" s="55"/>
      <c r="BQ60" s="55"/>
      <c r="BR60" s="55"/>
      <c r="BS60" s="55"/>
      <c r="BT60" s="55"/>
      <c r="BU60" s="55"/>
      <c r="BV60" s="55"/>
      <c r="BW60" s="55"/>
      <c r="BX60" s="55"/>
      <c r="BY60" s="55"/>
      <c r="BZ60" s="55"/>
      <c r="CA60" s="55"/>
      <c r="CB60" s="55"/>
      <c r="CC60" s="55"/>
      <c r="CD60" s="55"/>
      <c r="CE60" s="55"/>
      <c r="CF60" s="55"/>
      <c r="CG60" s="55"/>
      <c r="CH60" s="55"/>
      <c r="CI60" s="55"/>
      <c r="CJ60" s="55"/>
      <c r="CK60" s="55"/>
      <c r="CL60" s="55"/>
      <c r="CM60" s="55"/>
      <c r="CN60" s="55"/>
      <c r="CO60" s="55"/>
      <c r="CP60" s="55"/>
      <c r="CQ60" s="55"/>
      <c r="CR60" s="55"/>
      <c r="CS60" s="55"/>
      <c r="CT60" s="55"/>
      <c r="CU60" s="55"/>
      <c r="CV60" s="55"/>
      <c r="CW60" s="55"/>
      <c r="CX60" s="55"/>
      <c r="CY60" s="55"/>
      <c r="CZ60" s="55"/>
      <c r="DA60" s="55"/>
      <c r="DB60" s="55"/>
      <c r="DC60" s="55"/>
      <c r="DD60" s="55"/>
      <c r="DE60" s="55"/>
      <c r="DF60" s="55"/>
      <c r="DG60" s="55"/>
      <c r="DH60" s="55"/>
      <c r="DI60" s="55"/>
      <c r="DJ60" s="55"/>
      <c r="DK60" s="55"/>
      <c r="DL60" s="55"/>
      <c r="DM60" s="55"/>
      <c r="DN60" s="55"/>
      <c r="DO60" s="55"/>
      <c r="DP60" s="55"/>
      <c r="DQ60" s="55"/>
      <c r="DR60" s="55"/>
      <c r="DS60" s="55"/>
      <c r="DT60" s="55"/>
      <c r="DU60" s="55"/>
      <c r="DV60" s="55"/>
    </row>
  </sheetData>
  <mergeCells count="8">
    <mergeCell ref="B7:E7"/>
    <mergeCell ref="B33:E33"/>
    <mergeCell ref="B46:E46"/>
    <mergeCell ref="B27:E27"/>
    <mergeCell ref="B47:E52"/>
    <mergeCell ref="B12:E12"/>
    <mergeCell ref="B21:E21"/>
    <mergeCell ref="B38:E38"/>
  </mergeCells>
  <dataValidations count="2">
    <dataValidation type="whole" showErrorMessage="1" errorTitle="Out of range" error="Enter integer 0–12." sqref="D36" xr:uid="{00000000-0002-0000-0200-000000000000}">
      <formula1>0</formula1>
      <formula2>12</formula2>
    </dataValidation>
    <dataValidation type="list" showErrorMessage="1" errorTitle="Invalid" error="1=French  2=Italian  3=Bullet" sqref="D40" xr:uid="{00000000-0002-0000-0200-000001000000}">
      <formula1>"1,2,3"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34E64"/>
  </sheetPr>
  <dimension ref="A1:DU45"/>
  <sheetViews>
    <sheetView showGridLines="0" showRowColHeaders="0" workbookViewId="0">
      <pane xSplit="2" ySplit="6" topLeftCell="C7" activePane="bottomRight" state="frozen"/>
      <selection pane="topRight"/>
      <selection pane="bottomLeft"/>
      <selection pane="bottomRight" activeCell="B29" sqref="B29"/>
    </sheetView>
  </sheetViews>
  <sheetFormatPr defaultRowHeight="13.9" x14ac:dyDescent="0.4"/>
  <cols>
    <col min="1" max="1" width="2" customWidth="1"/>
    <col min="2" max="2" width="37" customWidth="1"/>
    <col min="3" max="123" width="11" customWidth="1"/>
  </cols>
  <sheetData>
    <row r="1" spans="1:125" ht="6" customHeight="1" x14ac:dyDescent="0.4">
      <c r="A1" s="54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4"/>
      <c r="BF1" s="54"/>
      <c r="BG1" s="54"/>
      <c r="BH1" s="54"/>
      <c r="BI1" s="54"/>
      <c r="BJ1" s="54"/>
      <c r="BK1" s="54"/>
      <c r="BL1" s="54"/>
      <c r="BM1" s="54"/>
      <c r="BN1" s="54"/>
      <c r="BO1" s="54"/>
      <c r="BP1" s="54"/>
      <c r="BQ1" s="54"/>
      <c r="BR1" s="54"/>
      <c r="BS1" s="54"/>
      <c r="BT1" s="54"/>
      <c r="BU1" s="54"/>
      <c r="BV1" s="54"/>
      <c r="BW1" s="54"/>
      <c r="BX1" s="54"/>
      <c r="BY1" s="54"/>
      <c r="BZ1" s="54"/>
      <c r="CA1" s="54"/>
      <c r="CB1" s="54"/>
      <c r="CC1" s="54"/>
      <c r="CD1" s="54"/>
      <c r="CE1" s="54"/>
      <c r="CF1" s="54"/>
      <c r="CG1" s="54"/>
      <c r="CH1" s="54"/>
      <c r="CI1" s="54"/>
      <c r="CJ1" s="54"/>
      <c r="CK1" s="54"/>
      <c r="CL1" s="54"/>
      <c r="CM1" s="54"/>
      <c r="CN1" s="54"/>
      <c r="CO1" s="54"/>
      <c r="CP1" s="54"/>
      <c r="CQ1" s="54"/>
      <c r="CR1" s="54"/>
      <c r="CS1" s="54"/>
      <c r="CT1" s="54"/>
      <c r="CU1" s="54"/>
      <c r="CV1" s="54"/>
      <c r="CW1" s="54"/>
      <c r="CX1" s="54"/>
      <c r="CY1" s="54"/>
      <c r="CZ1" s="54"/>
      <c r="DA1" s="54"/>
      <c r="DB1" s="54"/>
      <c r="DC1" s="54"/>
      <c r="DD1" s="54"/>
      <c r="DE1" s="54"/>
      <c r="DF1" s="54"/>
      <c r="DG1" s="54"/>
      <c r="DH1" s="54"/>
      <c r="DI1" s="54"/>
      <c r="DJ1" s="54"/>
      <c r="DK1" s="54"/>
      <c r="DL1" s="54"/>
      <c r="DM1" s="54"/>
      <c r="DN1" s="54"/>
      <c r="DO1" s="54"/>
      <c r="DP1" s="54"/>
      <c r="DQ1" s="54"/>
      <c r="DR1" s="54"/>
      <c r="DS1" s="54"/>
      <c r="DT1" s="54"/>
      <c r="DU1" s="54"/>
    </row>
    <row r="2" spans="1:125" ht="22.05" customHeight="1" x14ac:dyDescent="0.4">
      <c r="A2" s="54"/>
      <c r="B2" s="54"/>
      <c r="C2" s="1" t="s">
        <v>0</v>
      </c>
      <c r="D2" s="54"/>
      <c r="E2" s="54"/>
      <c r="F2" s="54"/>
      <c r="G2" s="54"/>
      <c r="H2" s="54"/>
      <c r="I2" s="1" t="s">
        <v>1</v>
      </c>
      <c r="J2" s="54"/>
      <c r="K2" s="54"/>
      <c r="L2" s="54"/>
      <c r="M2" s="54"/>
      <c r="N2" s="54"/>
      <c r="O2" s="54"/>
      <c r="P2" s="54"/>
      <c r="Q2" s="54"/>
      <c r="R2" s="11" t="s">
        <v>2</v>
      </c>
      <c r="S2" s="54"/>
      <c r="T2" s="54"/>
      <c r="U2" s="54"/>
      <c r="V2" s="54"/>
      <c r="W2" s="54"/>
      <c r="X2" s="54"/>
      <c r="Y2" s="54"/>
      <c r="Z2" s="54"/>
      <c r="AA2" s="1" t="s">
        <v>3</v>
      </c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4"/>
      <c r="AU2" s="54"/>
      <c r="AV2" s="54"/>
      <c r="AW2" s="54"/>
      <c r="AX2" s="54"/>
      <c r="AY2" s="54"/>
      <c r="AZ2" s="54"/>
      <c r="BA2" s="54"/>
      <c r="BB2" s="54"/>
      <c r="BC2" s="54"/>
      <c r="BD2" s="54"/>
      <c r="BE2" s="54"/>
      <c r="BF2" s="54"/>
      <c r="BG2" s="54"/>
      <c r="BH2" s="54"/>
      <c r="BI2" s="54"/>
      <c r="BJ2" s="54"/>
      <c r="BK2" s="54"/>
      <c r="BL2" s="54"/>
      <c r="BM2" s="54"/>
      <c r="BN2" s="54"/>
      <c r="BO2" s="54"/>
      <c r="BP2" s="54"/>
      <c r="BQ2" s="54"/>
      <c r="BR2" s="54"/>
      <c r="BS2" s="54"/>
      <c r="BT2" s="54"/>
      <c r="BU2" s="54"/>
      <c r="BV2" s="54"/>
      <c r="BW2" s="54"/>
      <c r="BX2" s="54"/>
      <c r="BY2" s="54"/>
      <c r="BZ2" s="54"/>
      <c r="CA2" s="54"/>
      <c r="CB2" s="54"/>
      <c r="CC2" s="54"/>
      <c r="CD2" s="54"/>
      <c r="CE2" s="54"/>
      <c r="CF2" s="54"/>
      <c r="CG2" s="54"/>
      <c r="CH2" s="54"/>
      <c r="CI2" s="54"/>
      <c r="CJ2" s="54"/>
      <c r="CK2" s="54"/>
      <c r="CL2" s="54"/>
      <c r="CM2" s="54"/>
      <c r="CN2" s="54"/>
      <c r="CO2" s="54"/>
      <c r="CP2" s="54"/>
      <c r="CQ2" s="54"/>
      <c r="CR2" s="54"/>
      <c r="CS2" s="54"/>
      <c r="CT2" s="54"/>
      <c r="CU2" s="54"/>
      <c r="CV2" s="54"/>
      <c r="CW2" s="54"/>
      <c r="CX2" s="54"/>
      <c r="CY2" s="54"/>
      <c r="CZ2" s="54"/>
      <c r="DA2" s="54"/>
      <c r="DB2" s="54"/>
      <c r="DC2" s="54"/>
      <c r="DD2" s="54"/>
      <c r="DE2" s="54"/>
      <c r="DF2" s="54"/>
      <c r="DG2" s="54"/>
      <c r="DH2" s="54"/>
      <c r="DI2" s="54"/>
      <c r="DJ2" s="54"/>
      <c r="DK2" s="54"/>
      <c r="DL2" s="54"/>
      <c r="DM2" s="54"/>
      <c r="DN2" s="54"/>
      <c r="DO2" s="54"/>
      <c r="DP2" s="54"/>
      <c r="DQ2" s="54"/>
      <c r="DR2" s="54"/>
      <c r="DS2" s="54"/>
      <c r="DT2" s="54"/>
      <c r="DU2" s="54"/>
    </row>
    <row r="3" spans="1:125" ht="4.05" customHeight="1" x14ac:dyDescent="0.4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6"/>
      <c r="S3" s="56"/>
      <c r="T3" s="56"/>
      <c r="U3" s="56"/>
      <c r="V3" s="56"/>
      <c r="W3" s="56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/>
      <c r="AS3" s="54"/>
      <c r="AT3" s="54"/>
      <c r="AU3" s="54"/>
      <c r="AV3" s="54"/>
      <c r="AW3" s="54"/>
      <c r="AX3" s="54"/>
      <c r="AY3" s="54"/>
      <c r="AZ3" s="54"/>
      <c r="BA3" s="54"/>
      <c r="BB3" s="54"/>
      <c r="BC3" s="54"/>
      <c r="BD3" s="54"/>
      <c r="BE3" s="54"/>
      <c r="BF3" s="54"/>
      <c r="BG3" s="54"/>
      <c r="BH3" s="54"/>
      <c r="BI3" s="54"/>
      <c r="BJ3" s="54"/>
      <c r="BK3" s="54"/>
      <c r="BL3" s="54"/>
      <c r="BM3" s="54"/>
      <c r="BN3" s="54"/>
      <c r="BO3" s="54"/>
      <c r="BP3" s="54"/>
      <c r="BQ3" s="54"/>
      <c r="BR3" s="54"/>
      <c r="BS3" s="54"/>
      <c r="BT3" s="54"/>
      <c r="BU3" s="54"/>
      <c r="BV3" s="54"/>
      <c r="BW3" s="54"/>
      <c r="BX3" s="54"/>
      <c r="BY3" s="54"/>
      <c r="BZ3" s="54"/>
      <c r="CA3" s="54"/>
      <c r="CB3" s="54"/>
      <c r="CC3" s="54"/>
      <c r="CD3" s="54"/>
      <c r="CE3" s="54"/>
      <c r="CF3" s="54"/>
      <c r="CG3" s="54"/>
      <c r="CH3" s="54"/>
      <c r="CI3" s="54"/>
      <c r="CJ3" s="54"/>
      <c r="CK3" s="54"/>
      <c r="CL3" s="54"/>
      <c r="CM3" s="54"/>
      <c r="CN3" s="54"/>
      <c r="CO3" s="54"/>
      <c r="CP3" s="54"/>
      <c r="CQ3" s="54"/>
      <c r="CR3" s="54"/>
      <c r="CS3" s="54"/>
      <c r="CT3" s="54"/>
      <c r="CU3" s="54"/>
      <c r="CV3" s="54"/>
      <c r="CW3" s="54"/>
      <c r="CX3" s="54"/>
      <c r="CY3" s="54"/>
      <c r="CZ3" s="54"/>
      <c r="DA3" s="54"/>
      <c r="DB3" s="54"/>
      <c r="DC3" s="54"/>
      <c r="DD3" s="54"/>
      <c r="DE3" s="54"/>
      <c r="DF3" s="54"/>
      <c r="DG3" s="54"/>
      <c r="DH3" s="54"/>
      <c r="DI3" s="54"/>
      <c r="DJ3" s="54"/>
      <c r="DK3" s="54"/>
      <c r="DL3" s="54"/>
      <c r="DM3" s="54"/>
      <c r="DN3" s="54"/>
      <c r="DO3" s="54"/>
      <c r="DP3" s="54"/>
      <c r="DQ3" s="54"/>
      <c r="DR3" s="54"/>
      <c r="DS3" s="54"/>
      <c r="DT3" s="54"/>
      <c r="DU3" s="54"/>
    </row>
    <row r="4" spans="1:125" ht="34.049999999999997" customHeight="1" x14ac:dyDescent="0.85">
      <c r="A4" s="55"/>
      <c r="B4" s="2" t="s">
        <v>120</v>
      </c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  <c r="AH4" s="58"/>
      <c r="AI4" s="58"/>
      <c r="AJ4" s="58"/>
      <c r="AK4" s="58"/>
      <c r="AL4" s="58"/>
      <c r="AM4" s="58"/>
      <c r="AN4" s="58"/>
      <c r="AO4" s="58"/>
      <c r="AP4" s="58"/>
      <c r="AQ4" s="58"/>
      <c r="AR4" s="58"/>
      <c r="AS4" s="58"/>
      <c r="AT4" s="58"/>
      <c r="AU4" s="58"/>
      <c r="AV4" s="58"/>
      <c r="AW4" s="58"/>
      <c r="AX4" s="58"/>
      <c r="AY4" s="58"/>
      <c r="AZ4" s="58"/>
      <c r="BA4" s="58"/>
      <c r="BB4" s="58"/>
      <c r="BC4" s="58"/>
      <c r="BD4" s="58"/>
      <c r="BE4" s="58"/>
      <c r="BF4" s="58"/>
      <c r="BG4" s="58"/>
      <c r="BH4" s="58"/>
      <c r="BI4" s="58"/>
      <c r="BJ4" s="58"/>
      <c r="BK4" s="58"/>
      <c r="BL4" s="58"/>
      <c r="BM4" s="58"/>
      <c r="BN4" s="58"/>
      <c r="BO4" s="58"/>
      <c r="BP4" s="58"/>
      <c r="BQ4" s="58"/>
      <c r="BR4" s="58"/>
      <c r="BS4" s="58"/>
      <c r="BT4" s="58"/>
      <c r="BU4" s="58"/>
      <c r="BV4" s="58"/>
      <c r="BW4" s="58"/>
      <c r="BX4" s="58"/>
      <c r="BY4" s="58"/>
      <c r="BZ4" s="58"/>
      <c r="CA4" s="58"/>
      <c r="CB4" s="58"/>
      <c r="CC4" s="58"/>
      <c r="CD4" s="58"/>
      <c r="CE4" s="58"/>
      <c r="CF4" s="58"/>
      <c r="CG4" s="58"/>
      <c r="CH4" s="58"/>
      <c r="CI4" s="58"/>
      <c r="CJ4" s="58"/>
      <c r="CK4" s="58"/>
      <c r="CL4" s="58"/>
      <c r="CM4" s="58"/>
      <c r="CN4" s="58"/>
      <c r="CO4" s="58"/>
      <c r="CP4" s="58"/>
      <c r="CQ4" s="58"/>
      <c r="CR4" s="58"/>
      <c r="CS4" s="58"/>
      <c r="CT4" s="58"/>
      <c r="CU4" s="58"/>
      <c r="CV4" s="58"/>
      <c r="CW4" s="58"/>
      <c r="CX4" s="58"/>
      <c r="CY4" s="58"/>
      <c r="CZ4" s="58"/>
      <c r="DA4" s="58"/>
      <c r="DB4" s="58"/>
      <c r="DC4" s="58"/>
      <c r="DD4" s="58"/>
      <c r="DE4" s="58"/>
      <c r="DF4" s="58"/>
      <c r="DG4" s="58"/>
      <c r="DH4" s="58"/>
      <c r="DI4" s="58"/>
      <c r="DJ4" s="58"/>
      <c r="DK4" s="58"/>
      <c r="DL4" s="58"/>
      <c r="DM4" s="58"/>
      <c r="DN4" s="58"/>
      <c r="DO4" s="58"/>
      <c r="DP4" s="58"/>
      <c r="DQ4" s="58"/>
      <c r="DR4" s="58"/>
      <c r="DS4" s="58"/>
      <c r="DT4" s="58"/>
      <c r="DU4" s="58"/>
    </row>
    <row r="5" spans="1:125" ht="16.05" customHeight="1" x14ac:dyDescent="0.4">
      <c r="A5" s="55"/>
      <c r="B5" s="3" t="s">
        <v>121</v>
      </c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58"/>
      <c r="AN5" s="58"/>
      <c r="AO5" s="58"/>
      <c r="AP5" s="58"/>
      <c r="AQ5" s="58"/>
      <c r="AR5" s="58"/>
      <c r="AS5" s="58"/>
      <c r="AT5" s="58"/>
      <c r="AU5" s="58"/>
      <c r="AV5" s="58"/>
      <c r="AW5" s="58"/>
      <c r="AX5" s="58"/>
      <c r="AY5" s="58"/>
      <c r="AZ5" s="58"/>
      <c r="BA5" s="58"/>
      <c r="BB5" s="58"/>
      <c r="BC5" s="58"/>
      <c r="BD5" s="58"/>
      <c r="BE5" s="58"/>
      <c r="BF5" s="58"/>
      <c r="BG5" s="58"/>
      <c r="BH5" s="58"/>
      <c r="BI5" s="58"/>
      <c r="BJ5" s="58"/>
      <c r="BK5" s="58"/>
      <c r="BL5" s="58"/>
      <c r="BM5" s="58"/>
      <c r="BN5" s="58"/>
      <c r="BO5" s="58"/>
      <c r="BP5" s="58"/>
      <c r="BQ5" s="58"/>
      <c r="BR5" s="58"/>
      <c r="BS5" s="58"/>
      <c r="BT5" s="58"/>
      <c r="BU5" s="58"/>
      <c r="BV5" s="58"/>
      <c r="BW5" s="58"/>
      <c r="BX5" s="58"/>
      <c r="BY5" s="58"/>
      <c r="BZ5" s="58"/>
      <c r="CA5" s="58"/>
      <c r="CB5" s="58"/>
      <c r="CC5" s="58"/>
      <c r="CD5" s="58"/>
      <c r="CE5" s="58"/>
      <c r="CF5" s="58"/>
      <c r="CG5" s="58"/>
      <c r="CH5" s="58"/>
      <c r="CI5" s="58"/>
      <c r="CJ5" s="58"/>
      <c r="CK5" s="58"/>
      <c r="CL5" s="58"/>
      <c r="CM5" s="58"/>
      <c r="CN5" s="58"/>
      <c r="CO5" s="58"/>
      <c r="CP5" s="58"/>
      <c r="CQ5" s="58"/>
      <c r="CR5" s="58"/>
      <c r="CS5" s="58"/>
      <c r="CT5" s="58"/>
      <c r="CU5" s="58"/>
      <c r="CV5" s="58"/>
      <c r="CW5" s="58"/>
      <c r="CX5" s="58"/>
      <c r="CY5" s="58"/>
      <c r="CZ5" s="58"/>
      <c r="DA5" s="58"/>
      <c r="DB5" s="58"/>
      <c r="DC5" s="58"/>
      <c r="DD5" s="58"/>
      <c r="DE5" s="58"/>
      <c r="DF5" s="58"/>
      <c r="DG5" s="58"/>
      <c r="DH5" s="58"/>
      <c r="DI5" s="58"/>
      <c r="DJ5" s="58"/>
      <c r="DK5" s="58"/>
      <c r="DL5" s="58"/>
      <c r="DM5" s="58"/>
      <c r="DN5" s="58"/>
      <c r="DO5" s="58"/>
      <c r="DP5" s="58"/>
      <c r="DQ5" s="58"/>
      <c r="DR5" s="58"/>
      <c r="DS5" s="58"/>
      <c r="DT5" s="58"/>
      <c r="DU5" s="58"/>
    </row>
    <row r="6" spans="1:125" ht="6" customHeight="1" x14ac:dyDescent="0.4">
      <c r="A6" s="55"/>
      <c r="B6" s="55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58"/>
      <c r="BF6" s="58"/>
      <c r="BG6" s="58"/>
      <c r="BH6" s="58"/>
      <c r="BI6" s="58"/>
      <c r="BJ6" s="58"/>
      <c r="BK6" s="58"/>
      <c r="BL6" s="58"/>
      <c r="BM6" s="58"/>
      <c r="BN6" s="58"/>
      <c r="BO6" s="58"/>
      <c r="BP6" s="58"/>
      <c r="BQ6" s="58"/>
      <c r="BR6" s="58"/>
      <c r="BS6" s="58"/>
      <c r="BT6" s="58"/>
      <c r="BU6" s="58"/>
      <c r="BV6" s="58"/>
      <c r="BW6" s="58"/>
      <c r="BX6" s="58"/>
      <c r="BY6" s="58"/>
      <c r="BZ6" s="58"/>
      <c r="CA6" s="58"/>
      <c r="CB6" s="58"/>
      <c r="CC6" s="58"/>
      <c r="CD6" s="58"/>
      <c r="CE6" s="58"/>
      <c r="CF6" s="58"/>
      <c r="CG6" s="58"/>
      <c r="CH6" s="58"/>
      <c r="CI6" s="58"/>
      <c r="CJ6" s="58"/>
      <c r="CK6" s="58"/>
      <c r="CL6" s="58"/>
      <c r="CM6" s="58"/>
      <c r="CN6" s="58"/>
      <c r="CO6" s="58"/>
      <c r="CP6" s="58"/>
      <c r="CQ6" s="58"/>
      <c r="CR6" s="58"/>
      <c r="CS6" s="58"/>
      <c r="CT6" s="58"/>
      <c r="CU6" s="58"/>
      <c r="CV6" s="58"/>
      <c r="CW6" s="58"/>
      <c r="CX6" s="58"/>
      <c r="CY6" s="58"/>
      <c r="CZ6" s="58"/>
      <c r="DA6" s="58"/>
      <c r="DB6" s="58"/>
      <c r="DC6" s="58"/>
      <c r="DD6" s="58"/>
      <c r="DE6" s="58"/>
      <c r="DF6" s="58"/>
      <c r="DG6" s="58"/>
      <c r="DH6" s="58"/>
      <c r="DI6" s="58"/>
      <c r="DJ6" s="58"/>
      <c r="DK6" s="58"/>
      <c r="DL6" s="58"/>
      <c r="DM6" s="58"/>
      <c r="DN6" s="58"/>
      <c r="DO6" s="58"/>
      <c r="DP6" s="58"/>
      <c r="DQ6" s="58"/>
      <c r="DR6" s="58"/>
      <c r="DS6" s="58"/>
      <c r="DT6" s="58"/>
      <c r="DU6" s="58"/>
    </row>
    <row r="7" spans="1:125" ht="18" customHeight="1" x14ac:dyDescent="0.4">
      <c r="A7" s="55"/>
      <c r="B7" s="35" t="s">
        <v>122</v>
      </c>
      <c r="C7" s="36">
        <v>0</v>
      </c>
      <c r="D7" s="37">
        <v>1</v>
      </c>
      <c r="E7" s="38">
        <v>2</v>
      </c>
      <c r="F7" s="37">
        <v>3</v>
      </c>
      <c r="G7" s="38">
        <v>4</v>
      </c>
      <c r="H7" s="37">
        <v>5</v>
      </c>
      <c r="I7" s="38">
        <v>6</v>
      </c>
      <c r="J7" s="37">
        <v>7</v>
      </c>
      <c r="K7" s="38">
        <v>8</v>
      </c>
      <c r="L7" s="37">
        <v>9</v>
      </c>
      <c r="M7" s="38">
        <v>10</v>
      </c>
      <c r="N7" s="37">
        <v>11</v>
      </c>
      <c r="O7" s="38">
        <v>12</v>
      </c>
      <c r="P7" s="37">
        <v>13</v>
      </c>
      <c r="Q7" s="38">
        <v>14</v>
      </c>
      <c r="R7" s="37">
        <v>15</v>
      </c>
      <c r="S7" s="38">
        <v>16</v>
      </c>
      <c r="T7" s="37">
        <v>17</v>
      </c>
      <c r="U7" s="38">
        <v>18</v>
      </c>
      <c r="V7" s="37">
        <v>19</v>
      </c>
      <c r="W7" s="38">
        <v>20</v>
      </c>
      <c r="X7" s="37">
        <v>21</v>
      </c>
      <c r="Y7" s="38">
        <v>22</v>
      </c>
      <c r="Z7" s="37">
        <v>23</v>
      </c>
      <c r="AA7" s="38">
        <v>24</v>
      </c>
      <c r="AB7" s="37">
        <v>25</v>
      </c>
      <c r="AC7" s="38">
        <v>26</v>
      </c>
      <c r="AD7" s="37">
        <v>27</v>
      </c>
      <c r="AE7" s="38">
        <v>28</v>
      </c>
      <c r="AF7" s="37">
        <v>29</v>
      </c>
      <c r="AG7" s="38">
        <v>30</v>
      </c>
      <c r="AH7" s="37">
        <v>31</v>
      </c>
      <c r="AI7" s="38">
        <v>32</v>
      </c>
      <c r="AJ7" s="37">
        <v>33</v>
      </c>
      <c r="AK7" s="38">
        <v>34</v>
      </c>
      <c r="AL7" s="37">
        <v>35</v>
      </c>
      <c r="AM7" s="38">
        <v>36</v>
      </c>
      <c r="AN7" s="37">
        <v>37</v>
      </c>
      <c r="AO7" s="38">
        <v>38</v>
      </c>
      <c r="AP7" s="37">
        <v>39</v>
      </c>
      <c r="AQ7" s="38">
        <v>40</v>
      </c>
      <c r="AR7" s="37">
        <v>41</v>
      </c>
      <c r="AS7" s="38">
        <v>42</v>
      </c>
      <c r="AT7" s="37">
        <v>43</v>
      </c>
      <c r="AU7" s="38">
        <v>44</v>
      </c>
      <c r="AV7" s="37">
        <v>45</v>
      </c>
      <c r="AW7" s="38">
        <v>46</v>
      </c>
      <c r="AX7" s="37">
        <v>47</v>
      </c>
      <c r="AY7" s="38">
        <v>48</v>
      </c>
      <c r="AZ7" s="37">
        <v>49</v>
      </c>
      <c r="BA7" s="38">
        <v>50</v>
      </c>
      <c r="BB7" s="37">
        <v>51</v>
      </c>
      <c r="BC7" s="38">
        <v>52</v>
      </c>
      <c r="BD7" s="37">
        <v>53</v>
      </c>
      <c r="BE7" s="38">
        <v>54</v>
      </c>
      <c r="BF7" s="37">
        <v>55</v>
      </c>
      <c r="BG7" s="38">
        <v>56</v>
      </c>
      <c r="BH7" s="37">
        <v>57</v>
      </c>
      <c r="BI7" s="38">
        <v>58</v>
      </c>
      <c r="BJ7" s="37">
        <v>59</v>
      </c>
      <c r="BK7" s="38">
        <v>60</v>
      </c>
      <c r="BL7" s="37">
        <v>61</v>
      </c>
      <c r="BM7" s="38">
        <v>62</v>
      </c>
      <c r="BN7" s="37">
        <v>63</v>
      </c>
      <c r="BO7" s="38">
        <v>64</v>
      </c>
      <c r="BP7" s="37">
        <v>65</v>
      </c>
      <c r="BQ7" s="38">
        <v>66</v>
      </c>
      <c r="BR7" s="37">
        <v>67</v>
      </c>
      <c r="BS7" s="38">
        <v>68</v>
      </c>
      <c r="BT7" s="37">
        <v>69</v>
      </c>
      <c r="BU7" s="38">
        <v>70</v>
      </c>
      <c r="BV7" s="37">
        <v>71</v>
      </c>
      <c r="BW7" s="38">
        <v>72</v>
      </c>
      <c r="BX7" s="37">
        <v>73</v>
      </c>
      <c r="BY7" s="38">
        <v>74</v>
      </c>
      <c r="BZ7" s="37">
        <v>75</v>
      </c>
      <c r="CA7" s="38">
        <v>76</v>
      </c>
      <c r="CB7" s="37">
        <v>77</v>
      </c>
      <c r="CC7" s="38">
        <v>78</v>
      </c>
      <c r="CD7" s="37">
        <v>79</v>
      </c>
      <c r="CE7" s="38">
        <v>80</v>
      </c>
      <c r="CF7" s="37">
        <v>81</v>
      </c>
      <c r="CG7" s="38">
        <v>82</v>
      </c>
      <c r="CH7" s="37">
        <v>83</v>
      </c>
      <c r="CI7" s="38">
        <v>84</v>
      </c>
      <c r="CJ7" s="37">
        <v>85</v>
      </c>
      <c r="CK7" s="38">
        <v>86</v>
      </c>
      <c r="CL7" s="37">
        <v>87</v>
      </c>
      <c r="CM7" s="38">
        <v>88</v>
      </c>
      <c r="CN7" s="37">
        <v>89</v>
      </c>
      <c r="CO7" s="38">
        <v>90</v>
      </c>
      <c r="CP7" s="37">
        <v>91</v>
      </c>
      <c r="CQ7" s="38">
        <v>92</v>
      </c>
      <c r="CR7" s="37">
        <v>93</v>
      </c>
      <c r="CS7" s="38">
        <v>94</v>
      </c>
      <c r="CT7" s="37">
        <v>95</v>
      </c>
      <c r="CU7" s="38">
        <v>96</v>
      </c>
      <c r="CV7" s="37">
        <v>97</v>
      </c>
      <c r="CW7" s="38">
        <v>98</v>
      </c>
      <c r="CX7" s="37">
        <v>99</v>
      </c>
      <c r="CY7" s="38">
        <v>100</v>
      </c>
      <c r="CZ7" s="37">
        <v>101</v>
      </c>
      <c r="DA7" s="38">
        <v>102</v>
      </c>
      <c r="DB7" s="37">
        <v>103</v>
      </c>
      <c r="DC7" s="38">
        <v>104</v>
      </c>
      <c r="DD7" s="37">
        <v>105</v>
      </c>
      <c r="DE7" s="38">
        <v>106</v>
      </c>
      <c r="DF7" s="37">
        <v>107</v>
      </c>
      <c r="DG7" s="38">
        <v>108</v>
      </c>
      <c r="DH7" s="37">
        <v>109</v>
      </c>
      <c r="DI7" s="38">
        <v>110</v>
      </c>
      <c r="DJ7" s="37">
        <v>111</v>
      </c>
      <c r="DK7" s="38">
        <v>112</v>
      </c>
      <c r="DL7" s="37">
        <v>113</v>
      </c>
      <c r="DM7" s="38">
        <v>114</v>
      </c>
      <c r="DN7" s="37">
        <v>115</v>
      </c>
      <c r="DO7" s="38">
        <v>116</v>
      </c>
      <c r="DP7" s="37">
        <v>117</v>
      </c>
      <c r="DQ7" s="38">
        <v>118</v>
      </c>
      <c r="DR7" s="37">
        <v>119</v>
      </c>
      <c r="DS7" s="38">
        <v>120</v>
      </c>
      <c r="DT7" s="58"/>
      <c r="DU7" s="58"/>
    </row>
    <row r="8" spans="1:125" ht="15" customHeight="1" x14ac:dyDescent="0.4">
      <c r="A8" s="55"/>
      <c r="B8" s="39" t="s">
        <v>123</v>
      </c>
      <c r="C8" s="40">
        <f>EDATE(PROJECT_START_DATE,0)</f>
        <v>45658</v>
      </c>
      <c r="D8" s="40">
        <f>EDATE(PROJECT_START_DATE,1)</f>
        <v>45689</v>
      </c>
      <c r="E8" s="40">
        <f>EDATE(PROJECT_START_DATE,2)</f>
        <v>45717</v>
      </c>
      <c r="F8" s="40">
        <f>EDATE(PROJECT_START_DATE,3)</f>
        <v>45748</v>
      </c>
      <c r="G8" s="40">
        <f>EDATE(PROJECT_START_DATE,4)</f>
        <v>45778</v>
      </c>
      <c r="H8" s="40">
        <f>EDATE(PROJECT_START_DATE,5)</f>
        <v>45809</v>
      </c>
      <c r="I8" s="40">
        <f>EDATE(PROJECT_START_DATE,6)</f>
        <v>45839</v>
      </c>
      <c r="J8" s="40">
        <f>EDATE(PROJECT_START_DATE,7)</f>
        <v>45870</v>
      </c>
      <c r="K8" s="40">
        <f>EDATE(PROJECT_START_DATE,8)</f>
        <v>45901</v>
      </c>
      <c r="L8" s="40">
        <f>EDATE(PROJECT_START_DATE,9)</f>
        <v>45931</v>
      </c>
      <c r="M8" s="40">
        <f>EDATE(PROJECT_START_DATE,10)</f>
        <v>45962</v>
      </c>
      <c r="N8" s="40">
        <f>EDATE(PROJECT_START_DATE,11)</f>
        <v>45992</v>
      </c>
      <c r="O8" s="40">
        <f>EDATE(PROJECT_START_DATE,12)</f>
        <v>46023</v>
      </c>
      <c r="P8" s="40">
        <f>EDATE(PROJECT_START_DATE,13)</f>
        <v>46054</v>
      </c>
      <c r="Q8" s="40">
        <f>EDATE(PROJECT_START_DATE,14)</f>
        <v>46082</v>
      </c>
      <c r="R8" s="40">
        <f>EDATE(PROJECT_START_DATE,15)</f>
        <v>46113</v>
      </c>
      <c r="S8" s="40">
        <f>EDATE(PROJECT_START_DATE,16)</f>
        <v>46143</v>
      </c>
      <c r="T8" s="40">
        <f>EDATE(PROJECT_START_DATE,17)</f>
        <v>46174</v>
      </c>
      <c r="U8" s="40">
        <f>EDATE(PROJECT_START_DATE,18)</f>
        <v>46204</v>
      </c>
      <c r="V8" s="40">
        <f>EDATE(PROJECT_START_DATE,19)</f>
        <v>46235</v>
      </c>
      <c r="W8" s="40">
        <f>EDATE(PROJECT_START_DATE,20)</f>
        <v>46266</v>
      </c>
      <c r="X8" s="40">
        <f>EDATE(PROJECT_START_DATE,21)</f>
        <v>46296</v>
      </c>
      <c r="Y8" s="40">
        <f>EDATE(PROJECT_START_DATE,22)</f>
        <v>46327</v>
      </c>
      <c r="Z8" s="40">
        <f>EDATE(PROJECT_START_DATE,23)</f>
        <v>46357</v>
      </c>
      <c r="AA8" s="40">
        <f>EDATE(PROJECT_START_DATE,24)</f>
        <v>46388</v>
      </c>
      <c r="AB8" s="40">
        <f>EDATE(PROJECT_START_DATE,25)</f>
        <v>46419</v>
      </c>
      <c r="AC8" s="40">
        <f>EDATE(PROJECT_START_DATE,26)</f>
        <v>46447</v>
      </c>
      <c r="AD8" s="40">
        <f>EDATE(PROJECT_START_DATE,27)</f>
        <v>46478</v>
      </c>
      <c r="AE8" s="40">
        <f>EDATE(PROJECT_START_DATE,28)</f>
        <v>46508</v>
      </c>
      <c r="AF8" s="40">
        <f>EDATE(PROJECT_START_DATE,29)</f>
        <v>46539</v>
      </c>
      <c r="AG8" s="40">
        <f>EDATE(PROJECT_START_DATE,30)</f>
        <v>46569</v>
      </c>
      <c r="AH8" s="40">
        <f>EDATE(PROJECT_START_DATE,31)</f>
        <v>46600</v>
      </c>
      <c r="AI8" s="40">
        <f>EDATE(PROJECT_START_DATE,32)</f>
        <v>46631</v>
      </c>
      <c r="AJ8" s="40">
        <f>EDATE(PROJECT_START_DATE,33)</f>
        <v>46661</v>
      </c>
      <c r="AK8" s="40">
        <f>EDATE(PROJECT_START_DATE,34)</f>
        <v>46692</v>
      </c>
      <c r="AL8" s="40">
        <f>EDATE(PROJECT_START_DATE,35)</f>
        <v>46722</v>
      </c>
      <c r="AM8" s="40">
        <f>EDATE(PROJECT_START_DATE,36)</f>
        <v>46753</v>
      </c>
      <c r="AN8" s="40">
        <f>EDATE(PROJECT_START_DATE,37)</f>
        <v>46784</v>
      </c>
      <c r="AO8" s="40">
        <f>EDATE(PROJECT_START_DATE,38)</f>
        <v>46813</v>
      </c>
      <c r="AP8" s="40">
        <f>EDATE(PROJECT_START_DATE,39)</f>
        <v>46844</v>
      </c>
      <c r="AQ8" s="40">
        <f>EDATE(PROJECT_START_DATE,40)</f>
        <v>46874</v>
      </c>
      <c r="AR8" s="40">
        <f>EDATE(PROJECT_START_DATE,41)</f>
        <v>46905</v>
      </c>
      <c r="AS8" s="40">
        <f>EDATE(PROJECT_START_DATE,42)</f>
        <v>46935</v>
      </c>
      <c r="AT8" s="40">
        <f>EDATE(PROJECT_START_DATE,43)</f>
        <v>46966</v>
      </c>
      <c r="AU8" s="40">
        <f>EDATE(PROJECT_START_DATE,44)</f>
        <v>46997</v>
      </c>
      <c r="AV8" s="40">
        <f>EDATE(PROJECT_START_DATE,45)</f>
        <v>47027</v>
      </c>
      <c r="AW8" s="40">
        <f>EDATE(PROJECT_START_DATE,46)</f>
        <v>47058</v>
      </c>
      <c r="AX8" s="40">
        <f>EDATE(PROJECT_START_DATE,47)</f>
        <v>47088</v>
      </c>
      <c r="AY8" s="40">
        <f>EDATE(PROJECT_START_DATE,48)</f>
        <v>47119</v>
      </c>
      <c r="AZ8" s="40">
        <f>EDATE(PROJECT_START_DATE,49)</f>
        <v>47150</v>
      </c>
      <c r="BA8" s="40">
        <f>EDATE(PROJECT_START_DATE,50)</f>
        <v>47178</v>
      </c>
      <c r="BB8" s="40">
        <f>EDATE(PROJECT_START_DATE,51)</f>
        <v>47209</v>
      </c>
      <c r="BC8" s="40">
        <f>EDATE(PROJECT_START_DATE,52)</f>
        <v>47239</v>
      </c>
      <c r="BD8" s="40">
        <f>EDATE(PROJECT_START_DATE,53)</f>
        <v>47270</v>
      </c>
      <c r="BE8" s="40">
        <f>EDATE(PROJECT_START_DATE,54)</f>
        <v>47300</v>
      </c>
      <c r="BF8" s="40">
        <f>EDATE(PROJECT_START_DATE,55)</f>
        <v>47331</v>
      </c>
      <c r="BG8" s="40">
        <f>EDATE(PROJECT_START_DATE,56)</f>
        <v>47362</v>
      </c>
      <c r="BH8" s="40">
        <f>EDATE(PROJECT_START_DATE,57)</f>
        <v>47392</v>
      </c>
      <c r="BI8" s="40">
        <f>EDATE(PROJECT_START_DATE,58)</f>
        <v>47423</v>
      </c>
      <c r="BJ8" s="40">
        <f>EDATE(PROJECT_START_DATE,59)</f>
        <v>47453</v>
      </c>
      <c r="BK8" s="40">
        <f>EDATE(PROJECT_START_DATE,60)</f>
        <v>47484</v>
      </c>
      <c r="BL8" s="40">
        <f>EDATE(PROJECT_START_DATE,61)</f>
        <v>47515</v>
      </c>
      <c r="BM8" s="40">
        <f>EDATE(PROJECT_START_DATE,62)</f>
        <v>47543</v>
      </c>
      <c r="BN8" s="40">
        <f>EDATE(PROJECT_START_DATE,63)</f>
        <v>47574</v>
      </c>
      <c r="BO8" s="40">
        <f>EDATE(PROJECT_START_DATE,64)</f>
        <v>47604</v>
      </c>
      <c r="BP8" s="40">
        <f>EDATE(PROJECT_START_DATE,65)</f>
        <v>47635</v>
      </c>
      <c r="BQ8" s="40">
        <f>EDATE(PROJECT_START_DATE,66)</f>
        <v>47665</v>
      </c>
      <c r="BR8" s="40">
        <f>EDATE(PROJECT_START_DATE,67)</f>
        <v>47696</v>
      </c>
      <c r="BS8" s="40">
        <f>EDATE(PROJECT_START_DATE,68)</f>
        <v>47727</v>
      </c>
      <c r="BT8" s="40">
        <f>EDATE(PROJECT_START_DATE,69)</f>
        <v>47757</v>
      </c>
      <c r="BU8" s="40">
        <f>EDATE(PROJECT_START_DATE,70)</f>
        <v>47788</v>
      </c>
      <c r="BV8" s="40">
        <f>EDATE(PROJECT_START_DATE,71)</f>
        <v>47818</v>
      </c>
      <c r="BW8" s="40">
        <f>EDATE(PROJECT_START_DATE,72)</f>
        <v>47849</v>
      </c>
      <c r="BX8" s="40">
        <f>EDATE(PROJECT_START_DATE,73)</f>
        <v>47880</v>
      </c>
      <c r="BY8" s="40">
        <f>EDATE(PROJECT_START_DATE,74)</f>
        <v>47908</v>
      </c>
      <c r="BZ8" s="40">
        <f>EDATE(PROJECT_START_DATE,75)</f>
        <v>47939</v>
      </c>
      <c r="CA8" s="40">
        <f>EDATE(PROJECT_START_DATE,76)</f>
        <v>47969</v>
      </c>
      <c r="CB8" s="40">
        <f>EDATE(PROJECT_START_DATE,77)</f>
        <v>48000</v>
      </c>
      <c r="CC8" s="40">
        <f>EDATE(PROJECT_START_DATE,78)</f>
        <v>48030</v>
      </c>
      <c r="CD8" s="40">
        <f>EDATE(PROJECT_START_DATE,79)</f>
        <v>48061</v>
      </c>
      <c r="CE8" s="40">
        <f>EDATE(PROJECT_START_DATE,80)</f>
        <v>48092</v>
      </c>
      <c r="CF8" s="40">
        <f>EDATE(PROJECT_START_DATE,81)</f>
        <v>48122</v>
      </c>
      <c r="CG8" s="40">
        <f>EDATE(PROJECT_START_DATE,82)</f>
        <v>48153</v>
      </c>
      <c r="CH8" s="40">
        <f>EDATE(PROJECT_START_DATE,83)</f>
        <v>48183</v>
      </c>
      <c r="CI8" s="40">
        <f>EDATE(PROJECT_START_DATE,84)</f>
        <v>48214</v>
      </c>
      <c r="CJ8" s="40">
        <f>EDATE(PROJECT_START_DATE,85)</f>
        <v>48245</v>
      </c>
      <c r="CK8" s="40">
        <f>EDATE(PROJECT_START_DATE,86)</f>
        <v>48274</v>
      </c>
      <c r="CL8" s="40">
        <f>EDATE(PROJECT_START_DATE,87)</f>
        <v>48305</v>
      </c>
      <c r="CM8" s="40">
        <f>EDATE(PROJECT_START_DATE,88)</f>
        <v>48335</v>
      </c>
      <c r="CN8" s="40">
        <f>EDATE(PROJECT_START_DATE,89)</f>
        <v>48366</v>
      </c>
      <c r="CO8" s="40">
        <f>EDATE(PROJECT_START_DATE,90)</f>
        <v>48396</v>
      </c>
      <c r="CP8" s="40">
        <f>EDATE(PROJECT_START_DATE,91)</f>
        <v>48427</v>
      </c>
      <c r="CQ8" s="40">
        <f>EDATE(PROJECT_START_DATE,92)</f>
        <v>48458</v>
      </c>
      <c r="CR8" s="40">
        <f>EDATE(PROJECT_START_DATE,93)</f>
        <v>48488</v>
      </c>
      <c r="CS8" s="40">
        <f>EDATE(PROJECT_START_DATE,94)</f>
        <v>48519</v>
      </c>
      <c r="CT8" s="40">
        <f>EDATE(PROJECT_START_DATE,95)</f>
        <v>48549</v>
      </c>
      <c r="CU8" s="40">
        <f>EDATE(PROJECT_START_DATE,96)</f>
        <v>48580</v>
      </c>
      <c r="CV8" s="40">
        <f>EDATE(PROJECT_START_DATE,97)</f>
        <v>48611</v>
      </c>
      <c r="CW8" s="40">
        <f>EDATE(PROJECT_START_DATE,98)</f>
        <v>48639</v>
      </c>
      <c r="CX8" s="40">
        <f>EDATE(PROJECT_START_DATE,99)</f>
        <v>48670</v>
      </c>
      <c r="CY8" s="40">
        <f>EDATE(PROJECT_START_DATE,100)</f>
        <v>48700</v>
      </c>
      <c r="CZ8" s="40">
        <f>EDATE(PROJECT_START_DATE,101)</f>
        <v>48731</v>
      </c>
      <c r="DA8" s="40">
        <f>EDATE(PROJECT_START_DATE,102)</f>
        <v>48761</v>
      </c>
      <c r="DB8" s="40">
        <f>EDATE(PROJECT_START_DATE,103)</f>
        <v>48792</v>
      </c>
      <c r="DC8" s="40">
        <f>EDATE(PROJECT_START_DATE,104)</f>
        <v>48823</v>
      </c>
      <c r="DD8" s="40">
        <f>EDATE(PROJECT_START_DATE,105)</f>
        <v>48853</v>
      </c>
      <c r="DE8" s="40">
        <f>EDATE(PROJECT_START_DATE,106)</f>
        <v>48884</v>
      </c>
      <c r="DF8" s="40">
        <f>EDATE(PROJECT_START_DATE,107)</f>
        <v>48914</v>
      </c>
      <c r="DG8" s="40">
        <f>EDATE(PROJECT_START_DATE,108)</f>
        <v>48945</v>
      </c>
      <c r="DH8" s="40">
        <f>EDATE(PROJECT_START_DATE,109)</f>
        <v>48976</v>
      </c>
      <c r="DI8" s="40">
        <f>EDATE(PROJECT_START_DATE,110)</f>
        <v>49004</v>
      </c>
      <c r="DJ8" s="40">
        <f>EDATE(PROJECT_START_DATE,111)</f>
        <v>49035</v>
      </c>
      <c r="DK8" s="40">
        <f>EDATE(PROJECT_START_DATE,112)</f>
        <v>49065</v>
      </c>
      <c r="DL8" s="40">
        <f>EDATE(PROJECT_START_DATE,113)</f>
        <v>49096</v>
      </c>
      <c r="DM8" s="40">
        <f>EDATE(PROJECT_START_DATE,114)</f>
        <v>49126</v>
      </c>
      <c r="DN8" s="40">
        <f>EDATE(PROJECT_START_DATE,115)</f>
        <v>49157</v>
      </c>
      <c r="DO8" s="40">
        <f>EDATE(PROJECT_START_DATE,116)</f>
        <v>49188</v>
      </c>
      <c r="DP8" s="40">
        <f>EDATE(PROJECT_START_DATE,117)</f>
        <v>49218</v>
      </c>
      <c r="DQ8" s="40">
        <f>EDATE(PROJECT_START_DATE,118)</f>
        <v>49249</v>
      </c>
      <c r="DR8" s="40">
        <f>EDATE(PROJECT_START_DATE,119)</f>
        <v>49279</v>
      </c>
      <c r="DS8" s="40">
        <f>EDATE(PROJECT_START_DATE,120)</f>
        <v>49310</v>
      </c>
      <c r="DT8" s="58"/>
      <c r="DU8" s="58"/>
    </row>
    <row r="9" spans="1:125" ht="6" customHeight="1" x14ac:dyDescent="0.4">
      <c r="A9" s="55"/>
      <c r="B9" s="55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8"/>
      <c r="AQ9" s="58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58"/>
      <c r="BF9" s="58"/>
      <c r="BG9" s="58"/>
      <c r="BH9" s="58"/>
      <c r="BI9" s="58"/>
      <c r="BJ9" s="58"/>
      <c r="BK9" s="58"/>
      <c r="BL9" s="58"/>
      <c r="BM9" s="58"/>
      <c r="BN9" s="58"/>
      <c r="BO9" s="58"/>
      <c r="BP9" s="58"/>
      <c r="BQ9" s="58"/>
      <c r="BR9" s="58"/>
      <c r="BS9" s="58"/>
      <c r="BT9" s="58"/>
      <c r="BU9" s="58"/>
      <c r="BV9" s="58"/>
      <c r="BW9" s="58"/>
      <c r="BX9" s="58"/>
      <c r="BY9" s="58"/>
      <c r="BZ9" s="58"/>
      <c r="CA9" s="58"/>
      <c r="CB9" s="58"/>
      <c r="CC9" s="58"/>
      <c r="CD9" s="58"/>
      <c r="CE9" s="58"/>
      <c r="CF9" s="58"/>
      <c r="CG9" s="58"/>
      <c r="CH9" s="58"/>
      <c r="CI9" s="58"/>
      <c r="CJ9" s="58"/>
      <c r="CK9" s="58"/>
      <c r="CL9" s="58"/>
      <c r="CM9" s="58"/>
      <c r="CN9" s="58"/>
      <c r="CO9" s="58"/>
      <c r="CP9" s="58"/>
      <c r="CQ9" s="58"/>
      <c r="CR9" s="58"/>
      <c r="CS9" s="58"/>
      <c r="CT9" s="58"/>
      <c r="CU9" s="58"/>
      <c r="CV9" s="58"/>
      <c r="CW9" s="58"/>
      <c r="CX9" s="58"/>
      <c r="CY9" s="58"/>
      <c r="CZ9" s="58"/>
      <c r="DA9" s="58"/>
      <c r="DB9" s="58"/>
      <c r="DC9" s="58"/>
      <c r="DD9" s="58"/>
      <c r="DE9" s="58"/>
      <c r="DF9" s="58"/>
      <c r="DG9" s="58"/>
      <c r="DH9" s="58"/>
      <c r="DI9" s="58"/>
      <c r="DJ9" s="58"/>
      <c r="DK9" s="58"/>
      <c r="DL9" s="58"/>
      <c r="DM9" s="58"/>
      <c r="DN9" s="58"/>
      <c r="DO9" s="58"/>
      <c r="DP9" s="58"/>
      <c r="DQ9" s="58"/>
      <c r="DR9" s="58"/>
      <c r="DS9" s="58"/>
      <c r="DT9" s="58"/>
      <c r="DU9" s="58"/>
    </row>
    <row r="10" spans="1:125" ht="22.05" customHeight="1" x14ac:dyDescent="0.5">
      <c r="A10" s="55"/>
      <c r="B10" s="50" t="s">
        <v>124</v>
      </c>
      <c r="C10" s="49"/>
      <c r="D10" s="49"/>
      <c r="E10" s="49"/>
      <c r="F10" s="49"/>
      <c r="G10" s="49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8"/>
      <c r="AQ10" s="58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  <c r="BI10" s="58"/>
      <c r="BJ10" s="58"/>
      <c r="BK10" s="58"/>
      <c r="BL10" s="58"/>
      <c r="BM10" s="58"/>
      <c r="BN10" s="58"/>
      <c r="BO10" s="58"/>
      <c r="BP10" s="58"/>
      <c r="BQ10" s="58"/>
      <c r="BR10" s="58"/>
      <c r="BS10" s="58"/>
      <c r="BT10" s="58"/>
      <c r="BU10" s="58"/>
      <c r="BV10" s="58"/>
      <c r="BW10" s="58"/>
      <c r="BX10" s="58"/>
      <c r="BY10" s="58"/>
      <c r="BZ10" s="58"/>
      <c r="CA10" s="58"/>
      <c r="CB10" s="58"/>
      <c r="CC10" s="58"/>
      <c r="CD10" s="58"/>
      <c r="CE10" s="58"/>
      <c r="CF10" s="58"/>
      <c r="CG10" s="58"/>
      <c r="CH10" s="58"/>
      <c r="CI10" s="58"/>
      <c r="CJ10" s="58"/>
      <c r="CK10" s="58"/>
      <c r="CL10" s="58"/>
      <c r="CM10" s="58"/>
      <c r="CN10" s="58"/>
      <c r="CO10" s="58"/>
      <c r="CP10" s="58"/>
      <c r="CQ10" s="58"/>
      <c r="CR10" s="58"/>
      <c r="CS10" s="58"/>
      <c r="CT10" s="58"/>
      <c r="CU10" s="58"/>
      <c r="CV10" s="58"/>
      <c r="CW10" s="58"/>
      <c r="CX10" s="58"/>
      <c r="CY10" s="58"/>
      <c r="CZ10" s="58"/>
      <c r="DA10" s="58"/>
      <c r="DB10" s="58"/>
      <c r="DC10" s="58"/>
      <c r="DD10" s="58"/>
      <c r="DE10" s="58"/>
      <c r="DF10" s="58"/>
      <c r="DG10" s="58"/>
      <c r="DH10" s="58"/>
      <c r="DI10" s="58"/>
      <c r="DJ10" s="58"/>
      <c r="DK10" s="58"/>
      <c r="DL10" s="58"/>
      <c r="DM10" s="58"/>
      <c r="DN10" s="58"/>
      <c r="DO10" s="58"/>
      <c r="DP10" s="58"/>
      <c r="DQ10" s="58"/>
      <c r="DR10" s="58"/>
      <c r="DS10" s="58"/>
      <c r="DT10" s="58"/>
      <c r="DU10" s="58"/>
    </row>
    <row r="11" spans="1:125" ht="15" customHeight="1" x14ac:dyDescent="0.4">
      <c r="A11" s="55"/>
      <c r="B11" s="41" t="s">
        <v>125</v>
      </c>
      <c r="C11" s="42">
        <v>0</v>
      </c>
      <c r="D11" s="42" cm="1">
        <f t="array" ref="D11">IF(D7&gt;120,0,CAPEX_TOTAL_BUDGET*INDEX(CAPEX_DISTRIBUTION_CURVE,1,D7)*CAPEX_SCENARIO_MULT)</f>
        <v>0</v>
      </c>
      <c r="E11" s="42" cm="1">
        <f t="array" ref="E11">IF(E7&gt;120,0,CAPEX_TOTAL_BUDGET*INDEX(CAPEX_DISTRIBUTION_CURVE,1,E7)*CAPEX_SCENARIO_MULT)</f>
        <v>0</v>
      </c>
      <c r="F11" s="42" cm="1">
        <f t="array" ref="F11">IF(F7&gt;120,0,CAPEX_TOTAL_BUDGET*INDEX(CAPEX_DISTRIBUTION_CURVE,1,F7)*CAPEX_SCENARIO_MULT)</f>
        <v>0</v>
      </c>
      <c r="G11" s="42" cm="1">
        <f t="array" ref="G11">IF(G7&gt;120,0,CAPEX_TOTAL_BUDGET*INDEX(CAPEX_DISTRIBUTION_CURVE,1,G7)*CAPEX_SCENARIO_MULT)</f>
        <v>0</v>
      </c>
      <c r="H11" s="42" cm="1">
        <f t="array" ref="H11">IF(H7&gt;120,0,CAPEX_TOTAL_BUDGET*INDEX(CAPEX_DISTRIBUTION_CURVE,1,H7)*CAPEX_SCENARIO_MULT)</f>
        <v>0</v>
      </c>
      <c r="I11" s="42" cm="1">
        <f t="array" ref="I11">IF(I7&gt;120,0,CAPEX_TOTAL_BUDGET*INDEX(CAPEX_DISTRIBUTION_CURVE,1,I7)*CAPEX_SCENARIO_MULT)</f>
        <v>0</v>
      </c>
      <c r="J11" s="42" cm="1">
        <f t="array" ref="J11">IF(J7&gt;120,0,CAPEX_TOTAL_BUDGET*INDEX(CAPEX_DISTRIBUTION_CURVE,1,J7)*CAPEX_SCENARIO_MULT)</f>
        <v>0</v>
      </c>
      <c r="K11" s="42" cm="1">
        <f t="array" ref="K11">IF(K7&gt;120,0,CAPEX_TOTAL_BUDGET*INDEX(CAPEX_DISTRIBUTION_CURVE,1,K7)*CAPEX_SCENARIO_MULT)</f>
        <v>0</v>
      </c>
      <c r="L11" s="42" cm="1">
        <f t="array" ref="L11">IF(L7&gt;120,0,CAPEX_TOTAL_BUDGET*INDEX(CAPEX_DISTRIBUTION_CURVE,1,L7)*CAPEX_SCENARIO_MULT)</f>
        <v>0</v>
      </c>
      <c r="M11" s="42" cm="1">
        <f t="array" ref="M11">IF(M7&gt;120,0,CAPEX_TOTAL_BUDGET*INDEX(CAPEX_DISTRIBUTION_CURVE,1,M7)*CAPEX_SCENARIO_MULT)</f>
        <v>0</v>
      </c>
      <c r="N11" s="42" cm="1">
        <f t="array" ref="N11">IF(N7&gt;120,0,CAPEX_TOTAL_BUDGET*INDEX(CAPEX_DISTRIBUTION_CURVE,1,N7)*CAPEX_SCENARIO_MULT)</f>
        <v>0</v>
      </c>
      <c r="O11" s="42" cm="1">
        <f t="array" ref="O11">IF(O7&gt;120,0,CAPEX_TOTAL_BUDGET*INDEX(CAPEX_DISTRIBUTION_CURVE,1,O7)*CAPEX_SCENARIO_MULT)</f>
        <v>0</v>
      </c>
      <c r="P11" s="42" cm="1">
        <f t="array" ref="P11">IF(P7&gt;120,0,CAPEX_TOTAL_BUDGET*INDEX(CAPEX_DISTRIBUTION_CURVE,1,P7)*CAPEX_SCENARIO_MULT)</f>
        <v>0</v>
      </c>
      <c r="Q11" s="42" cm="1">
        <f t="array" ref="Q11">IF(Q7&gt;120,0,CAPEX_TOTAL_BUDGET*INDEX(CAPEX_DISTRIBUTION_CURVE,1,Q7)*CAPEX_SCENARIO_MULT)</f>
        <v>0</v>
      </c>
      <c r="R11" s="42" cm="1">
        <f t="array" ref="R11">IF(R7&gt;120,0,CAPEX_TOTAL_BUDGET*INDEX(CAPEX_DISTRIBUTION_CURVE,1,R7)*CAPEX_SCENARIO_MULT)</f>
        <v>0</v>
      </c>
      <c r="S11" s="42" cm="1">
        <f t="array" ref="S11">IF(S7&gt;120,0,CAPEX_TOTAL_BUDGET*INDEX(CAPEX_DISTRIBUTION_CURVE,1,S7)*CAPEX_SCENARIO_MULT)</f>
        <v>0</v>
      </c>
      <c r="T11" s="42" cm="1">
        <f t="array" ref="T11">IF(T7&gt;120,0,CAPEX_TOTAL_BUDGET*INDEX(CAPEX_DISTRIBUTION_CURVE,1,T7)*CAPEX_SCENARIO_MULT)</f>
        <v>0</v>
      </c>
      <c r="U11" s="42" cm="1">
        <f t="array" ref="U11">IF(U7&gt;120,0,CAPEX_TOTAL_BUDGET*INDEX(CAPEX_DISTRIBUTION_CURVE,1,U7)*CAPEX_SCENARIO_MULT)</f>
        <v>0</v>
      </c>
      <c r="V11" s="42" cm="1">
        <f t="array" ref="V11">IF(V7&gt;120,0,CAPEX_TOTAL_BUDGET*INDEX(CAPEX_DISTRIBUTION_CURVE,1,V7)*CAPEX_SCENARIO_MULT)</f>
        <v>0</v>
      </c>
      <c r="W11" s="42" cm="1">
        <f t="array" ref="W11">IF(W7&gt;120,0,CAPEX_TOTAL_BUDGET*INDEX(CAPEX_DISTRIBUTION_CURVE,1,W7)*CAPEX_SCENARIO_MULT)</f>
        <v>0</v>
      </c>
      <c r="X11" s="42" cm="1">
        <f t="array" ref="X11">IF(X7&gt;120,0,CAPEX_TOTAL_BUDGET*INDEX(CAPEX_DISTRIBUTION_CURVE,1,X7)*CAPEX_SCENARIO_MULT)</f>
        <v>0</v>
      </c>
      <c r="Y11" s="42" cm="1">
        <f t="array" ref="Y11">IF(Y7&gt;120,0,CAPEX_TOTAL_BUDGET*INDEX(CAPEX_DISTRIBUTION_CURVE,1,Y7)*CAPEX_SCENARIO_MULT)</f>
        <v>0</v>
      </c>
      <c r="Z11" s="42" cm="1">
        <f t="array" ref="Z11">IF(Z7&gt;120,0,CAPEX_TOTAL_BUDGET*INDEX(CAPEX_DISTRIBUTION_CURVE,1,Z7)*CAPEX_SCENARIO_MULT)</f>
        <v>0</v>
      </c>
      <c r="AA11" s="42" cm="1">
        <f t="array" ref="AA11">IF(AA7&gt;120,0,CAPEX_TOTAL_BUDGET*INDEX(CAPEX_DISTRIBUTION_CURVE,1,AA7)*CAPEX_SCENARIO_MULT)</f>
        <v>0</v>
      </c>
      <c r="AB11" s="42" cm="1">
        <f t="array" ref="AB11">IF(AB7&gt;120,0,CAPEX_TOTAL_BUDGET*INDEX(CAPEX_DISTRIBUTION_CURVE,1,AB7)*CAPEX_SCENARIO_MULT)</f>
        <v>0</v>
      </c>
      <c r="AC11" s="42" cm="1">
        <f t="array" ref="AC11">IF(AC7&gt;120,0,CAPEX_TOTAL_BUDGET*INDEX(CAPEX_DISTRIBUTION_CURVE,1,AC7)*CAPEX_SCENARIO_MULT)</f>
        <v>0</v>
      </c>
      <c r="AD11" s="42" cm="1">
        <f t="array" ref="AD11">IF(AD7&gt;120,0,CAPEX_TOTAL_BUDGET*INDEX(CAPEX_DISTRIBUTION_CURVE,1,AD7)*CAPEX_SCENARIO_MULT)</f>
        <v>0</v>
      </c>
      <c r="AE11" s="42" cm="1">
        <f t="array" ref="AE11">IF(AE7&gt;120,0,CAPEX_TOTAL_BUDGET*INDEX(CAPEX_DISTRIBUTION_CURVE,1,AE7)*CAPEX_SCENARIO_MULT)</f>
        <v>0</v>
      </c>
      <c r="AF11" s="42" cm="1">
        <f t="array" ref="AF11">IF(AF7&gt;120,0,CAPEX_TOTAL_BUDGET*INDEX(CAPEX_DISTRIBUTION_CURVE,1,AF7)*CAPEX_SCENARIO_MULT)</f>
        <v>0</v>
      </c>
      <c r="AG11" s="42" cm="1">
        <f t="array" ref="AG11">IF(AG7&gt;120,0,CAPEX_TOTAL_BUDGET*INDEX(CAPEX_DISTRIBUTION_CURVE,1,AG7)*CAPEX_SCENARIO_MULT)</f>
        <v>0</v>
      </c>
      <c r="AH11" s="42" cm="1">
        <f t="array" ref="AH11">IF(AH7&gt;120,0,CAPEX_TOTAL_BUDGET*INDEX(CAPEX_DISTRIBUTION_CURVE,1,AH7)*CAPEX_SCENARIO_MULT)</f>
        <v>0</v>
      </c>
      <c r="AI11" s="42" cm="1">
        <f t="array" ref="AI11">IF(AI7&gt;120,0,CAPEX_TOTAL_BUDGET*INDEX(CAPEX_DISTRIBUTION_CURVE,1,AI7)*CAPEX_SCENARIO_MULT)</f>
        <v>0</v>
      </c>
      <c r="AJ11" s="42" cm="1">
        <f t="array" ref="AJ11">IF(AJ7&gt;120,0,CAPEX_TOTAL_BUDGET*INDEX(CAPEX_DISTRIBUTION_CURVE,1,AJ7)*CAPEX_SCENARIO_MULT)</f>
        <v>0</v>
      </c>
      <c r="AK11" s="42" cm="1">
        <f t="array" ref="AK11">IF(AK7&gt;120,0,CAPEX_TOTAL_BUDGET*INDEX(CAPEX_DISTRIBUTION_CURVE,1,AK7)*CAPEX_SCENARIO_MULT)</f>
        <v>0</v>
      </c>
      <c r="AL11" s="42" cm="1">
        <f t="array" ref="AL11">IF(AL7&gt;120,0,CAPEX_TOTAL_BUDGET*INDEX(CAPEX_DISTRIBUTION_CURVE,1,AL7)*CAPEX_SCENARIO_MULT)</f>
        <v>0</v>
      </c>
      <c r="AM11" s="42" cm="1">
        <f t="array" ref="AM11">IF(AM7&gt;120,0,CAPEX_TOTAL_BUDGET*INDEX(CAPEX_DISTRIBUTION_CURVE,1,AM7)*CAPEX_SCENARIO_MULT)</f>
        <v>0</v>
      </c>
      <c r="AN11" s="42" cm="1">
        <f t="array" ref="AN11">IF(AN7&gt;120,0,CAPEX_TOTAL_BUDGET*INDEX(CAPEX_DISTRIBUTION_CURVE,1,AN7)*CAPEX_SCENARIO_MULT)</f>
        <v>0</v>
      </c>
      <c r="AO11" s="42" cm="1">
        <f t="array" ref="AO11">IF(AO7&gt;120,0,CAPEX_TOTAL_BUDGET*INDEX(CAPEX_DISTRIBUTION_CURVE,1,AO7)*CAPEX_SCENARIO_MULT)</f>
        <v>0</v>
      </c>
      <c r="AP11" s="42" cm="1">
        <f t="array" ref="AP11">IF(AP7&gt;120,0,CAPEX_TOTAL_BUDGET*INDEX(CAPEX_DISTRIBUTION_CURVE,1,AP7)*CAPEX_SCENARIO_MULT)</f>
        <v>0</v>
      </c>
      <c r="AQ11" s="42" cm="1">
        <f t="array" ref="AQ11">IF(AQ7&gt;120,0,CAPEX_TOTAL_BUDGET*INDEX(CAPEX_DISTRIBUTION_CURVE,1,AQ7)*CAPEX_SCENARIO_MULT)</f>
        <v>0</v>
      </c>
      <c r="AR11" s="42" cm="1">
        <f t="array" ref="AR11">IF(AR7&gt;120,0,CAPEX_TOTAL_BUDGET*INDEX(CAPEX_DISTRIBUTION_CURVE,1,AR7)*CAPEX_SCENARIO_MULT)</f>
        <v>0</v>
      </c>
      <c r="AS11" s="42" cm="1">
        <f t="array" ref="AS11">IF(AS7&gt;120,0,CAPEX_TOTAL_BUDGET*INDEX(CAPEX_DISTRIBUTION_CURVE,1,AS7)*CAPEX_SCENARIO_MULT)</f>
        <v>0</v>
      </c>
      <c r="AT11" s="42" cm="1">
        <f t="array" ref="AT11">IF(AT7&gt;120,0,CAPEX_TOTAL_BUDGET*INDEX(CAPEX_DISTRIBUTION_CURVE,1,AT7)*CAPEX_SCENARIO_MULT)</f>
        <v>0</v>
      </c>
      <c r="AU11" s="42" cm="1">
        <f t="array" ref="AU11">IF(AU7&gt;120,0,CAPEX_TOTAL_BUDGET*INDEX(CAPEX_DISTRIBUTION_CURVE,1,AU7)*CAPEX_SCENARIO_MULT)</f>
        <v>0</v>
      </c>
      <c r="AV11" s="42" cm="1">
        <f t="array" ref="AV11">IF(AV7&gt;120,0,CAPEX_TOTAL_BUDGET*INDEX(CAPEX_DISTRIBUTION_CURVE,1,AV7)*CAPEX_SCENARIO_MULT)</f>
        <v>0</v>
      </c>
      <c r="AW11" s="42" cm="1">
        <f t="array" ref="AW11">IF(AW7&gt;120,0,CAPEX_TOTAL_BUDGET*INDEX(CAPEX_DISTRIBUTION_CURVE,1,AW7)*CAPEX_SCENARIO_MULT)</f>
        <v>0</v>
      </c>
      <c r="AX11" s="42" cm="1">
        <f t="array" ref="AX11">IF(AX7&gt;120,0,CAPEX_TOTAL_BUDGET*INDEX(CAPEX_DISTRIBUTION_CURVE,1,AX7)*CAPEX_SCENARIO_MULT)</f>
        <v>0</v>
      </c>
      <c r="AY11" s="42" cm="1">
        <f t="array" ref="AY11">IF(AY7&gt;120,0,CAPEX_TOTAL_BUDGET*INDEX(CAPEX_DISTRIBUTION_CURVE,1,AY7)*CAPEX_SCENARIO_MULT)</f>
        <v>0</v>
      </c>
      <c r="AZ11" s="42" cm="1">
        <f t="array" ref="AZ11">IF(AZ7&gt;120,0,CAPEX_TOTAL_BUDGET*INDEX(CAPEX_DISTRIBUTION_CURVE,1,AZ7)*CAPEX_SCENARIO_MULT)</f>
        <v>0</v>
      </c>
      <c r="BA11" s="42" cm="1">
        <f t="array" ref="BA11">IF(BA7&gt;120,0,CAPEX_TOTAL_BUDGET*INDEX(CAPEX_DISTRIBUTION_CURVE,1,BA7)*CAPEX_SCENARIO_MULT)</f>
        <v>0</v>
      </c>
      <c r="BB11" s="42" cm="1">
        <f t="array" ref="BB11">IF(BB7&gt;120,0,CAPEX_TOTAL_BUDGET*INDEX(CAPEX_DISTRIBUTION_CURVE,1,BB7)*CAPEX_SCENARIO_MULT)</f>
        <v>0</v>
      </c>
      <c r="BC11" s="42" cm="1">
        <f t="array" ref="BC11">IF(BC7&gt;120,0,CAPEX_TOTAL_BUDGET*INDEX(CAPEX_DISTRIBUTION_CURVE,1,BC7)*CAPEX_SCENARIO_MULT)</f>
        <v>0</v>
      </c>
      <c r="BD11" s="42" cm="1">
        <f t="array" ref="BD11">IF(BD7&gt;120,0,CAPEX_TOTAL_BUDGET*INDEX(CAPEX_DISTRIBUTION_CURVE,1,BD7)*CAPEX_SCENARIO_MULT)</f>
        <v>0</v>
      </c>
      <c r="BE11" s="42" cm="1">
        <f t="array" ref="BE11">IF(BE7&gt;120,0,CAPEX_TOTAL_BUDGET*INDEX(CAPEX_DISTRIBUTION_CURVE,1,BE7)*CAPEX_SCENARIO_MULT)</f>
        <v>0</v>
      </c>
      <c r="BF11" s="42" cm="1">
        <f t="array" ref="BF11">IF(BF7&gt;120,0,CAPEX_TOTAL_BUDGET*INDEX(CAPEX_DISTRIBUTION_CURVE,1,BF7)*CAPEX_SCENARIO_MULT)</f>
        <v>0</v>
      </c>
      <c r="BG11" s="42" cm="1">
        <f t="array" ref="BG11">IF(BG7&gt;120,0,CAPEX_TOTAL_BUDGET*INDEX(CAPEX_DISTRIBUTION_CURVE,1,BG7)*CAPEX_SCENARIO_MULT)</f>
        <v>0</v>
      </c>
      <c r="BH11" s="42" cm="1">
        <f t="array" ref="BH11">IF(BH7&gt;120,0,CAPEX_TOTAL_BUDGET*INDEX(CAPEX_DISTRIBUTION_CURVE,1,BH7)*CAPEX_SCENARIO_MULT)</f>
        <v>0</v>
      </c>
      <c r="BI11" s="42" cm="1">
        <f t="array" ref="BI11">IF(BI7&gt;120,0,CAPEX_TOTAL_BUDGET*INDEX(CAPEX_DISTRIBUTION_CURVE,1,BI7)*CAPEX_SCENARIO_MULT)</f>
        <v>0</v>
      </c>
      <c r="BJ11" s="42" cm="1">
        <f t="array" ref="BJ11">IF(BJ7&gt;120,0,CAPEX_TOTAL_BUDGET*INDEX(CAPEX_DISTRIBUTION_CURVE,1,BJ7)*CAPEX_SCENARIO_MULT)</f>
        <v>0</v>
      </c>
      <c r="BK11" s="42" cm="1">
        <f t="array" ref="BK11">IF(BK7&gt;120,0,CAPEX_TOTAL_BUDGET*INDEX(CAPEX_DISTRIBUTION_CURVE,1,BK7)*CAPEX_SCENARIO_MULT)</f>
        <v>0</v>
      </c>
      <c r="BL11" s="42" cm="1">
        <f t="array" ref="BL11">IF(BL7&gt;120,0,CAPEX_TOTAL_BUDGET*INDEX(CAPEX_DISTRIBUTION_CURVE,1,BL7)*CAPEX_SCENARIO_MULT)</f>
        <v>0</v>
      </c>
      <c r="BM11" s="42" cm="1">
        <f t="array" ref="BM11">IF(BM7&gt;120,0,CAPEX_TOTAL_BUDGET*INDEX(CAPEX_DISTRIBUTION_CURVE,1,BM7)*CAPEX_SCENARIO_MULT)</f>
        <v>0</v>
      </c>
      <c r="BN11" s="42" cm="1">
        <f t="array" ref="BN11">IF(BN7&gt;120,0,CAPEX_TOTAL_BUDGET*INDEX(CAPEX_DISTRIBUTION_CURVE,1,BN7)*CAPEX_SCENARIO_MULT)</f>
        <v>0</v>
      </c>
      <c r="BO11" s="42" cm="1">
        <f t="array" ref="BO11">IF(BO7&gt;120,0,CAPEX_TOTAL_BUDGET*INDEX(CAPEX_DISTRIBUTION_CURVE,1,BO7)*CAPEX_SCENARIO_MULT)</f>
        <v>0</v>
      </c>
      <c r="BP11" s="42" cm="1">
        <f t="array" ref="BP11">IF(BP7&gt;120,0,CAPEX_TOTAL_BUDGET*INDEX(CAPEX_DISTRIBUTION_CURVE,1,BP7)*CAPEX_SCENARIO_MULT)</f>
        <v>0</v>
      </c>
      <c r="BQ11" s="42" cm="1">
        <f t="array" ref="BQ11">IF(BQ7&gt;120,0,CAPEX_TOTAL_BUDGET*INDEX(CAPEX_DISTRIBUTION_CURVE,1,BQ7)*CAPEX_SCENARIO_MULT)</f>
        <v>0</v>
      </c>
      <c r="BR11" s="42" cm="1">
        <f t="array" ref="BR11">IF(BR7&gt;120,0,CAPEX_TOTAL_BUDGET*INDEX(CAPEX_DISTRIBUTION_CURVE,1,BR7)*CAPEX_SCENARIO_MULT)</f>
        <v>0</v>
      </c>
      <c r="BS11" s="42" cm="1">
        <f t="array" ref="BS11">IF(BS7&gt;120,0,CAPEX_TOTAL_BUDGET*INDEX(CAPEX_DISTRIBUTION_CURVE,1,BS7)*CAPEX_SCENARIO_MULT)</f>
        <v>0</v>
      </c>
      <c r="BT11" s="42" cm="1">
        <f t="array" ref="BT11">IF(BT7&gt;120,0,CAPEX_TOTAL_BUDGET*INDEX(CAPEX_DISTRIBUTION_CURVE,1,BT7)*CAPEX_SCENARIO_MULT)</f>
        <v>0</v>
      </c>
      <c r="BU11" s="42" cm="1">
        <f t="array" ref="BU11">IF(BU7&gt;120,0,CAPEX_TOTAL_BUDGET*INDEX(CAPEX_DISTRIBUTION_CURVE,1,BU7)*CAPEX_SCENARIO_MULT)</f>
        <v>0</v>
      </c>
      <c r="BV11" s="42" cm="1">
        <f t="array" ref="BV11">IF(BV7&gt;120,0,CAPEX_TOTAL_BUDGET*INDEX(CAPEX_DISTRIBUTION_CURVE,1,BV7)*CAPEX_SCENARIO_MULT)</f>
        <v>0</v>
      </c>
      <c r="BW11" s="42" cm="1">
        <f t="array" ref="BW11">IF(BW7&gt;120,0,CAPEX_TOTAL_BUDGET*INDEX(CAPEX_DISTRIBUTION_CURVE,1,BW7)*CAPEX_SCENARIO_MULT)</f>
        <v>0</v>
      </c>
      <c r="BX11" s="42" cm="1">
        <f t="array" ref="BX11">IF(BX7&gt;120,0,CAPEX_TOTAL_BUDGET*INDEX(CAPEX_DISTRIBUTION_CURVE,1,BX7)*CAPEX_SCENARIO_MULT)</f>
        <v>0</v>
      </c>
      <c r="BY11" s="42" cm="1">
        <f t="array" ref="BY11">IF(BY7&gt;120,0,CAPEX_TOTAL_BUDGET*INDEX(CAPEX_DISTRIBUTION_CURVE,1,BY7)*CAPEX_SCENARIO_MULT)</f>
        <v>0</v>
      </c>
      <c r="BZ11" s="42" cm="1">
        <f t="array" ref="BZ11">IF(BZ7&gt;120,0,CAPEX_TOTAL_BUDGET*INDEX(CAPEX_DISTRIBUTION_CURVE,1,BZ7)*CAPEX_SCENARIO_MULT)</f>
        <v>0</v>
      </c>
      <c r="CA11" s="42" cm="1">
        <f t="array" ref="CA11">IF(CA7&gt;120,0,CAPEX_TOTAL_BUDGET*INDEX(CAPEX_DISTRIBUTION_CURVE,1,CA7)*CAPEX_SCENARIO_MULT)</f>
        <v>0</v>
      </c>
      <c r="CB11" s="42" cm="1">
        <f t="array" ref="CB11">IF(CB7&gt;120,0,CAPEX_TOTAL_BUDGET*INDEX(CAPEX_DISTRIBUTION_CURVE,1,CB7)*CAPEX_SCENARIO_MULT)</f>
        <v>0</v>
      </c>
      <c r="CC11" s="42" cm="1">
        <f t="array" ref="CC11">IF(CC7&gt;120,0,CAPEX_TOTAL_BUDGET*INDEX(CAPEX_DISTRIBUTION_CURVE,1,CC7)*CAPEX_SCENARIO_MULT)</f>
        <v>0</v>
      </c>
      <c r="CD11" s="42" cm="1">
        <f t="array" ref="CD11">IF(CD7&gt;120,0,CAPEX_TOTAL_BUDGET*INDEX(CAPEX_DISTRIBUTION_CURVE,1,CD7)*CAPEX_SCENARIO_MULT)</f>
        <v>0</v>
      </c>
      <c r="CE11" s="42" cm="1">
        <f t="array" ref="CE11">IF(CE7&gt;120,0,CAPEX_TOTAL_BUDGET*INDEX(CAPEX_DISTRIBUTION_CURVE,1,CE7)*CAPEX_SCENARIO_MULT)</f>
        <v>0</v>
      </c>
      <c r="CF11" s="42" cm="1">
        <f t="array" ref="CF11">IF(CF7&gt;120,0,CAPEX_TOTAL_BUDGET*INDEX(CAPEX_DISTRIBUTION_CURVE,1,CF7)*CAPEX_SCENARIO_MULT)</f>
        <v>0</v>
      </c>
      <c r="CG11" s="42" cm="1">
        <f t="array" ref="CG11">IF(CG7&gt;120,0,CAPEX_TOTAL_BUDGET*INDEX(CAPEX_DISTRIBUTION_CURVE,1,CG7)*CAPEX_SCENARIO_MULT)</f>
        <v>0</v>
      </c>
      <c r="CH11" s="42" cm="1">
        <f t="array" ref="CH11">IF(CH7&gt;120,0,CAPEX_TOTAL_BUDGET*INDEX(CAPEX_DISTRIBUTION_CURVE,1,CH7)*CAPEX_SCENARIO_MULT)</f>
        <v>0</v>
      </c>
      <c r="CI11" s="42" cm="1">
        <f t="array" ref="CI11">IF(CI7&gt;120,0,CAPEX_TOTAL_BUDGET*INDEX(CAPEX_DISTRIBUTION_CURVE,1,CI7)*CAPEX_SCENARIO_MULT)</f>
        <v>0</v>
      </c>
      <c r="CJ11" s="42" cm="1">
        <f t="array" ref="CJ11">IF(CJ7&gt;120,0,CAPEX_TOTAL_BUDGET*INDEX(CAPEX_DISTRIBUTION_CURVE,1,CJ7)*CAPEX_SCENARIO_MULT)</f>
        <v>0</v>
      </c>
      <c r="CK11" s="42" cm="1">
        <f t="array" ref="CK11">IF(CK7&gt;120,0,CAPEX_TOTAL_BUDGET*INDEX(CAPEX_DISTRIBUTION_CURVE,1,CK7)*CAPEX_SCENARIO_MULT)</f>
        <v>0</v>
      </c>
      <c r="CL11" s="42" cm="1">
        <f t="array" ref="CL11">IF(CL7&gt;120,0,CAPEX_TOTAL_BUDGET*INDEX(CAPEX_DISTRIBUTION_CURVE,1,CL7)*CAPEX_SCENARIO_MULT)</f>
        <v>0</v>
      </c>
      <c r="CM11" s="42" cm="1">
        <f t="array" ref="CM11">IF(CM7&gt;120,0,CAPEX_TOTAL_BUDGET*INDEX(CAPEX_DISTRIBUTION_CURVE,1,CM7)*CAPEX_SCENARIO_MULT)</f>
        <v>0</v>
      </c>
      <c r="CN11" s="42" cm="1">
        <f t="array" ref="CN11">IF(CN7&gt;120,0,CAPEX_TOTAL_BUDGET*INDEX(CAPEX_DISTRIBUTION_CURVE,1,CN7)*CAPEX_SCENARIO_MULT)</f>
        <v>0</v>
      </c>
      <c r="CO11" s="42" cm="1">
        <f t="array" ref="CO11">IF(CO7&gt;120,0,CAPEX_TOTAL_BUDGET*INDEX(CAPEX_DISTRIBUTION_CURVE,1,CO7)*CAPEX_SCENARIO_MULT)</f>
        <v>0</v>
      </c>
      <c r="CP11" s="42" cm="1">
        <f t="array" ref="CP11">IF(CP7&gt;120,0,CAPEX_TOTAL_BUDGET*INDEX(CAPEX_DISTRIBUTION_CURVE,1,CP7)*CAPEX_SCENARIO_MULT)</f>
        <v>0</v>
      </c>
      <c r="CQ11" s="42" cm="1">
        <f t="array" ref="CQ11">IF(CQ7&gt;120,0,CAPEX_TOTAL_BUDGET*INDEX(CAPEX_DISTRIBUTION_CURVE,1,CQ7)*CAPEX_SCENARIO_MULT)</f>
        <v>0</v>
      </c>
      <c r="CR11" s="42" cm="1">
        <f t="array" ref="CR11">IF(CR7&gt;120,0,CAPEX_TOTAL_BUDGET*INDEX(CAPEX_DISTRIBUTION_CURVE,1,CR7)*CAPEX_SCENARIO_MULT)</f>
        <v>0</v>
      </c>
      <c r="CS11" s="42" cm="1">
        <f t="array" ref="CS11">IF(CS7&gt;120,0,CAPEX_TOTAL_BUDGET*INDEX(CAPEX_DISTRIBUTION_CURVE,1,CS7)*CAPEX_SCENARIO_MULT)</f>
        <v>0</v>
      </c>
      <c r="CT11" s="42" cm="1">
        <f t="array" ref="CT11">IF(CT7&gt;120,0,CAPEX_TOTAL_BUDGET*INDEX(CAPEX_DISTRIBUTION_CURVE,1,CT7)*CAPEX_SCENARIO_MULT)</f>
        <v>0</v>
      </c>
      <c r="CU11" s="42" cm="1">
        <f t="array" ref="CU11">IF(CU7&gt;120,0,CAPEX_TOTAL_BUDGET*INDEX(CAPEX_DISTRIBUTION_CURVE,1,CU7)*CAPEX_SCENARIO_MULT)</f>
        <v>0</v>
      </c>
      <c r="CV11" s="42" cm="1">
        <f t="array" ref="CV11">IF(CV7&gt;120,0,CAPEX_TOTAL_BUDGET*INDEX(CAPEX_DISTRIBUTION_CURVE,1,CV7)*CAPEX_SCENARIO_MULT)</f>
        <v>0</v>
      </c>
      <c r="CW11" s="42" cm="1">
        <f t="array" ref="CW11">IF(CW7&gt;120,0,CAPEX_TOTAL_BUDGET*INDEX(CAPEX_DISTRIBUTION_CURVE,1,CW7)*CAPEX_SCENARIO_MULT)</f>
        <v>0</v>
      </c>
      <c r="CX11" s="42" cm="1">
        <f t="array" ref="CX11">IF(CX7&gt;120,0,CAPEX_TOTAL_BUDGET*INDEX(CAPEX_DISTRIBUTION_CURVE,1,CX7)*CAPEX_SCENARIO_MULT)</f>
        <v>0</v>
      </c>
      <c r="CY11" s="42" cm="1">
        <f t="array" ref="CY11">IF(CY7&gt;120,0,CAPEX_TOTAL_BUDGET*INDEX(CAPEX_DISTRIBUTION_CURVE,1,CY7)*CAPEX_SCENARIO_MULT)</f>
        <v>0</v>
      </c>
      <c r="CZ11" s="42" cm="1">
        <f t="array" ref="CZ11">IF(CZ7&gt;120,0,CAPEX_TOTAL_BUDGET*INDEX(CAPEX_DISTRIBUTION_CURVE,1,CZ7)*CAPEX_SCENARIO_MULT)</f>
        <v>0</v>
      </c>
      <c r="DA11" s="42" cm="1">
        <f t="array" ref="DA11">IF(DA7&gt;120,0,CAPEX_TOTAL_BUDGET*INDEX(CAPEX_DISTRIBUTION_CURVE,1,DA7)*CAPEX_SCENARIO_MULT)</f>
        <v>0</v>
      </c>
      <c r="DB11" s="42" cm="1">
        <f t="array" ref="DB11">IF(DB7&gt;120,0,CAPEX_TOTAL_BUDGET*INDEX(CAPEX_DISTRIBUTION_CURVE,1,DB7)*CAPEX_SCENARIO_MULT)</f>
        <v>0</v>
      </c>
      <c r="DC11" s="42" cm="1">
        <f t="array" ref="DC11">IF(DC7&gt;120,0,CAPEX_TOTAL_BUDGET*INDEX(CAPEX_DISTRIBUTION_CURVE,1,DC7)*CAPEX_SCENARIO_MULT)</f>
        <v>0</v>
      </c>
      <c r="DD11" s="42" cm="1">
        <f t="array" ref="DD11">IF(DD7&gt;120,0,CAPEX_TOTAL_BUDGET*INDEX(CAPEX_DISTRIBUTION_CURVE,1,DD7)*CAPEX_SCENARIO_MULT)</f>
        <v>0</v>
      </c>
      <c r="DE11" s="42" cm="1">
        <f t="array" ref="DE11">IF(DE7&gt;120,0,CAPEX_TOTAL_BUDGET*INDEX(CAPEX_DISTRIBUTION_CURVE,1,DE7)*CAPEX_SCENARIO_MULT)</f>
        <v>0</v>
      </c>
      <c r="DF11" s="42" cm="1">
        <f t="array" ref="DF11">IF(DF7&gt;120,0,CAPEX_TOTAL_BUDGET*INDEX(CAPEX_DISTRIBUTION_CURVE,1,DF7)*CAPEX_SCENARIO_MULT)</f>
        <v>0</v>
      </c>
      <c r="DG11" s="42" cm="1">
        <f t="array" ref="DG11">IF(DG7&gt;120,0,CAPEX_TOTAL_BUDGET*INDEX(CAPEX_DISTRIBUTION_CURVE,1,DG7)*CAPEX_SCENARIO_MULT)</f>
        <v>0</v>
      </c>
      <c r="DH11" s="42" cm="1">
        <f t="array" ref="DH11">IF(DH7&gt;120,0,CAPEX_TOTAL_BUDGET*INDEX(CAPEX_DISTRIBUTION_CURVE,1,DH7)*CAPEX_SCENARIO_MULT)</f>
        <v>0</v>
      </c>
      <c r="DI11" s="42" cm="1">
        <f t="array" ref="DI11">IF(DI7&gt;120,0,CAPEX_TOTAL_BUDGET*INDEX(CAPEX_DISTRIBUTION_CURVE,1,DI7)*CAPEX_SCENARIO_MULT)</f>
        <v>0</v>
      </c>
      <c r="DJ11" s="42" cm="1">
        <f t="array" ref="DJ11">IF(DJ7&gt;120,0,CAPEX_TOTAL_BUDGET*INDEX(CAPEX_DISTRIBUTION_CURVE,1,DJ7)*CAPEX_SCENARIO_MULT)</f>
        <v>0</v>
      </c>
      <c r="DK11" s="42" cm="1">
        <f t="array" ref="DK11">IF(DK7&gt;120,0,CAPEX_TOTAL_BUDGET*INDEX(CAPEX_DISTRIBUTION_CURVE,1,DK7)*CAPEX_SCENARIO_MULT)</f>
        <v>0</v>
      </c>
      <c r="DL11" s="42" cm="1">
        <f t="array" ref="DL11">IF(DL7&gt;120,0,CAPEX_TOTAL_BUDGET*INDEX(CAPEX_DISTRIBUTION_CURVE,1,DL7)*CAPEX_SCENARIO_MULT)</f>
        <v>0</v>
      </c>
      <c r="DM11" s="42" cm="1">
        <f t="array" ref="DM11">IF(DM7&gt;120,0,CAPEX_TOTAL_BUDGET*INDEX(CAPEX_DISTRIBUTION_CURVE,1,DM7)*CAPEX_SCENARIO_MULT)</f>
        <v>0</v>
      </c>
      <c r="DN11" s="42" cm="1">
        <f t="array" ref="DN11">IF(DN7&gt;120,0,CAPEX_TOTAL_BUDGET*INDEX(CAPEX_DISTRIBUTION_CURVE,1,DN7)*CAPEX_SCENARIO_MULT)</f>
        <v>0</v>
      </c>
      <c r="DO11" s="42" cm="1">
        <f t="array" ref="DO11">IF(DO7&gt;120,0,CAPEX_TOTAL_BUDGET*INDEX(CAPEX_DISTRIBUTION_CURVE,1,DO7)*CAPEX_SCENARIO_MULT)</f>
        <v>0</v>
      </c>
      <c r="DP11" s="42" cm="1">
        <f t="array" ref="DP11">IF(DP7&gt;120,0,CAPEX_TOTAL_BUDGET*INDEX(CAPEX_DISTRIBUTION_CURVE,1,DP7)*CAPEX_SCENARIO_MULT)</f>
        <v>0</v>
      </c>
      <c r="DQ11" s="42" cm="1">
        <f t="array" ref="DQ11">IF(DQ7&gt;120,0,CAPEX_TOTAL_BUDGET*INDEX(CAPEX_DISTRIBUTION_CURVE,1,DQ7)*CAPEX_SCENARIO_MULT)</f>
        <v>0</v>
      </c>
      <c r="DR11" s="42" cm="1">
        <f t="array" ref="DR11">IF(DR7&gt;120,0,CAPEX_TOTAL_BUDGET*INDEX(CAPEX_DISTRIBUTION_CURVE,1,DR7)*CAPEX_SCENARIO_MULT)</f>
        <v>0</v>
      </c>
      <c r="DS11" s="42" cm="1">
        <f t="array" ref="DS11">IF(DS7&gt;120,0,CAPEX_TOTAL_BUDGET*INDEX(CAPEX_DISTRIBUTION_CURVE,1,DS7)*CAPEX_SCENARIO_MULT)</f>
        <v>0</v>
      </c>
      <c r="DT11" s="58"/>
      <c r="DU11" s="58"/>
    </row>
    <row r="12" spans="1:125" ht="15" customHeight="1" x14ac:dyDescent="0.4">
      <c r="A12" s="55"/>
      <c r="B12" s="41" t="s">
        <v>126</v>
      </c>
      <c r="C12" s="42">
        <f t="shared" ref="C12:AH12" si="0">C11*RETENTION_RATE</f>
        <v>0</v>
      </c>
      <c r="D12" s="42">
        <f t="shared" si="0"/>
        <v>0</v>
      </c>
      <c r="E12" s="42">
        <f t="shared" si="0"/>
        <v>0</v>
      </c>
      <c r="F12" s="42">
        <f t="shared" si="0"/>
        <v>0</v>
      </c>
      <c r="G12" s="42">
        <f t="shared" si="0"/>
        <v>0</v>
      </c>
      <c r="H12" s="42">
        <f t="shared" si="0"/>
        <v>0</v>
      </c>
      <c r="I12" s="42">
        <f t="shared" si="0"/>
        <v>0</v>
      </c>
      <c r="J12" s="42">
        <f t="shared" si="0"/>
        <v>0</v>
      </c>
      <c r="K12" s="42">
        <f t="shared" si="0"/>
        <v>0</v>
      </c>
      <c r="L12" s="42">
        <f t="shared" si="0"/>
        <v>0</v>
      </c>
      <c r="M12" s="42">
        <f t="shared" si="0"/>
        <v>0</v>
      </c>
      <c r="N12" s="42">
        <f t="shared" si="0"/>
        <v>0</v>
      </c>
      <c r="O12" s="42">
        <f t="shared" si="0"/>
        <v>0</v>
      </c>
      <c r="P12" s="42">
        <f t="shared" si="0"/>
        <v>0</v>
      </c>
      <c r="Q12" s="42">
        <f t="shared" si="0"/>
        <v>0</v>
      </c>
      <c r="R12" s="42">
        <f t="shared" si="0"/>
        <v>0</v>
      </c>
      <c r="S12" s="42">
        <f t="shared" si="0"/>
        <v>0</v>
      </c>
      <c r="T12" s="42">
        <f t="shared" si="0"/>
        <v>0</v>
      </c>
      <c r="U12" s="42">
        <f t="shared" si="0"/>
        <v>0</v>
      </c>
      <c r="V12" s="42">
        <f t="shared" si="0"/>
        <v>0</v>
      </c>
      <c r="W12" s="42">
        <f t="shared" si="0"/>
        <v>0</v>
      </c>
      <c r="X12" s="42">
        <f t="shared" si="0"/>
        <v>0</v>
      </c>
      <c r="Y12" s="42">
        <f t="shared" si="0"/>
        <v>0</v>
      </c>
      <c r="Z12" s="42">
        <f t="shared" si="0"/>
        <v>0</v>
      </c>
      <c r="AA12" s="42">
        <f t="shared" si="0"/>
        <v>0</v>
      </c>
      <c r="AB12" s="42">
        <f t="shared" si="0"/>
        <v>0</v>
      </c>
      <c r="AC12" s="42">
        <f t="shared" si="0"/>
        <v>0</v>
      </c>
      <c r="AD12" s="42">
        <f t="shared" si="0"/>
        <v>0</v>
      </c>
      <c r="AE12" s="42">
        <f t="shared" si="0"/>
        <v>0</v>
      </c>
      <c r="AF12" s="42">
        <f t="shared" si="0"/>
        <v>0</v>
      </c>
      <c r="AG12" s="42">
        <f t="shared" si="0"/>
        <v>0</v>
      </c>
      <c r="AH12" s="42">
        <f t="shared" si="0"/>
        <v>0</v>
      </c>
      <c r="AI12" s="42">
        <f t="shared" ref="AI12:BN12" si="1">AI11*RETENTION_RATE</f>
        <v>0</v>
      </c>
      <c r="AJ12" s="42">
        <f t="shared" si="1"/>
        <v>0</v>
      </c>
      <c r="AK12" s="42">
        <f t="shared" si="1"/>
        <v>0</v>
      </c>
      <c r="AL12" s="42">
        <f t="shared" si="1"/>
        <v>0</v>
      </c>
      <c r="AM12" s="42">
        <f t="shared" si="1"/>
        <v>0</v>
      </c>
      <c r="AN12" s="42">
        <f t="shared" si="1"/>
        <v>0</v>
      </c>
      <c r="AO12" s="42">
        <f t="shared" si="1"/>
        <v>0</v>
      </c>
      <c r="AP12" s="42">
        <f t="shared" si="1"/>
        <v>0</v>
      </c>
      <c r="AQ12" s="42">
        <f t="shared" si="1"/>
        <v>0</v>
      </c>
      <c r="AR12" s="42">
        <f t="shared" si="1"/>
        <v>0</v>
      </c>
      <c r="AS12" s="42">
        <f t="shared" si="1"/>
        <v>0</v>
      </c>
      <c r="AT12" s="42">
        <f t="shared" si="1"/>
        <v>0</v>
      </c>
      <c r="AU12" s="42">
        <f t="shared" si="1"/>
        <v>0</v>
      </c>
      <c r="AV12" s="42">
        <f t="shared" si="1"/>
        <v>0</v>
      </c>
      <c r="AW12" s="42">
        <f t="shared" si="1"/>
        <v>0</v>
      </c>
      <c r="AX12" s="42">
        <f t="shared" si="1"/>
        <v>0</v>
      </c>
      <c r="AY12" s="42">
        <f t="shared" si="1"/>
        <v>0</v>
      </c>
      <c r="AZ12" s="42">
        <f t="shared" si="1"/>
        <v>0</v>
      </c>
      <c r="BA12" s="42">
        <f t="shared" si="1"/>
        <v>0</v>
      </c>
      <c r="BB12" s="42">
        <f t="shared" si="1"/>
        <v>0</v>
      </c>
      <c r="BC12" s="42">
        <f t="shared" si="1"/>
        <v>0</v>
      </c>
      <c r="BD12" s="42">
        <f t="shared" si="1"/>
        <v>0</v>
      </c>
      <c r="BE12" s="42">
        <f t="shared" si="1"/>
        <v>0</v>
      </c>
      <c r="BF12" s="42">
        <f t="shared" si="1"/>
        <v>0</v>
      </c>
      <c r="BG12" s="42">
        <f t="shared" si="1"/>
        <v>0</v>
      </c>
      <c r="BH12" s="42">
        <f t="shared" si="1"/>
        <v>0</v>
      </c>
      <c r="BI12" s="42">
        <f t="shared" si="1"/>
        <v>0</v>
      </c>
      <c r="BJ12" s="42">
        <f t="shared" si="1"/>
        <v>0</v>
      </c>
      <c r="BK12" s="42">
        <f t="shared" si="1"/>
        <v>0</v>
      </c>
      <c r="BL12" s="42">
        <f t="shared" si="1"/>
        <v>0</v>
      </c>
      <c r="BM12" s="42">
        <f t="shared" si="1"/>
        <v>0</v>
      </c>
      <c r="BN12" s="42">
        <f t="shared" si="1"/>
        <v>0</v>
      </c>
      <c r="BO12" s="42">
        <f t="shared" ref="BO12:CT12" si="2">BO11*RETENTION_RATE</f>
        <v>0</v>
      </c>
      <c r="BP12" s="42">
        <f t="shared" si="2"/>
        <v>0</v>
      </c>
      <c r="BQ12" s="42">
        <f t="shared" si="2"/>
        <v>0</v>
      </c>
      <c r="BR12" s="42">
        <f t="shared" si="2"/>
        <v>0</v>
      </c>
      <c r="BS12" s="42">
        <f t="shared" si="2"/>
        <v>0</v>
      </c>
      <c r="BT12" s="42">
        <f t="shared" si="2"/>
        <v>0</v>
      </c>
      <c r="BU12" s="42">
        <f t="shared" si="2"/>
        <v>0</v>
      </c>
      <c r="BV12" s="42">
        <f t="shared" si="2"/>
        <v>0</v>
      </c>
      <c r="BW12" s="42">
        <f t="shared" si="2"/>
        <v>0</v>
      </c>
      <c r="BX12" s="42">
        <f t="shared" si="2"/>
        <v>0</v>
      </c>
      <c r="BY12" s="42">
        <f t="shared" si="2"/>
        <v>0</v>
      </c>
      <c r="BZ12" s="42">
        <f t="shared" si="2"/>
        <v>0</v>
      </c>
      <c r="CA12" s="42">
        <f t="shared" si="2"/>
        <v>0</v>
      </c>
      <c r="CB12" s="42">
        <f t="shared" si="2"/>
        <v>0</v>
      </c>
      <c r="CC12" s="42">
        <f t="shared" si="2"/>
        <v>0</v>
      </c>
      <c r="CD12" s="42">
        <f t="shared" si="2"/>
        <v>0</v>
      </c>
      <c r="CE12" s="42">
        <f t="shared" si="2"/>
        <v>0</v>
      </c>
      <c r="CF12" s="42">
        <f t="shared" si="2"/>
        <v>0</v>
      </c>
      <c r="CG12" s="42">
        <f t="shared" si="2"/>
        <v>0</v>
      </c>
      <c r="CH12" s="42">
        <f t="shared" si="2"/>
        <v>0</v>
      </c>
      <c r="CI12" s="42">
        <f t="shared" si="2"/>
        <v>0</v>
      </c>
      <c r="CJ12" s="42">
        <f t="shared" si="2"/>
        <v>0</v>
      </c>
      <c r="CK12" s="42">
        <f t="shared" si="2"/>
        <v>0</v>
      </c>
      <c r="CL12" s="42">
        <f t="shared" si="2"/>
        <v>0</v>
      </c>
      <c r="CM12" s="42">
        <f t="shared" si="2"/>
        <v>0</v>
      </c>
      <c r="CN12" s="42">
        <f t="shared" si="2"/>
        <v>0</v>
      </c>
      <c r="CO12" s="42">
        <f t="shared" si="2"/>
        <v>0</v>
      </c>
      <c r="CP12" s="42">
        <f t="shared" si="2"/>
        <v>0</v>
      </c>
      <c r="CQ12" s="42">
        <f t="shared" si="2"/>
        <v>0</v>
      </c>
      <c r="CR12" s="42">
        <f t="shared" si="2"/>
        <v>0</v>
      </c>
      <c r="CS12" s="42">
        <f t="shared" si="2"/>
        <v>0</v>
      </c>
      <c r="CT12" s="42">
        <f t="shared" si="2"/>
        <v>0</v>
      </c>
      <c r="CU12" s="42">
        <f t="shared" ref="CU12:DS12" si="3">CU11*RETENTION_RATE</f>
        <v>0</v>
      </c>
      <c r="CV12" s="42">
        <f t="shared" si="3"/>
        <v>0</v>
      </c>
      <c r="CW12" s="42">
        <f t="shared" si="3"/>
        <v>0</v>
      </c>
      <c r="CX12" s="42">
        <f t="shared" si="3"/>
        <v>0</v>
      </c>
      <c r="CY12" s="42">
        <f t="shared" si="3"/>
        <v>0</v>
      </c>
      <c r="CZ12" s="42">
        <f t="shared" si="3"/>
        <v>0</v>
      </c>
      <c r="DA12" s="42">
        <f t="shared" si="3"/>
        <v>0</v>
      </c>
      <c r="DB12" s="42">
        <f t="shared" si="3"/>
        <v>0</v>
      </c>
      <c r="DC12" s="42">
        <f t="shared" si="3"/>
        <v>0</v>
      </c>
      <c r="DD12" s="42">
        <f t="shared" si="3"/>
        <v>0</v>
      </c>
      <c r="DE12" s="42">
        <f t="shared" si="3"/>
        <v>0</v>
      </c>
      <c r="DF12" s="42">
        <f t="shared" si="3"/>
        <v>0</v>
      </c>
      <c r="DG12" s="42">
        <f t="shared" si="3"/>
        <v>0</v>
      </c>
      <c r="DH12" s="42">
        <f t="shared" si="3"/>
        <v>0</v>
      </c>
      <c r="DI12" s="42">
        <f t="shared" si="3"/>
        <v>0</v>
      </c>
      <c r="DJ12" s="42">
        <f t="shared" si="3"/>
        <v>0</v>
      </c>
      <c r="DK12" s="42">
        <f t="shared" si="3"/>
        <v>0</v>
      </c>
      <c r="DL12" s="42">
        <f t="shared" si="3"/>
        <v>0</v>
      </c>
      <c r="DM12" s="42">
        <f t="shared" si="3"/>
        <v>0</v>
      </c>
      <c r="DN12" s="42">
        <f t="shared" si="3"/>
        <v>0</v>
      </c>
      <c r="DO12" s="42">
        <f t="shared" si="3"/>
        <v>0</v>
      </c>
      <c r="DP12" s="42">
        <f t="shared" si="3"/>
        <v>0</v>
      </c>
      <c r="DQ12" s="42">
        <f t="shared" si="3"/>
        <v>0</v>
      </c>
      <c r="DR12" s="42">
        <f t="shared" si="3"/>
        <v>0</v>
      </c>
      <c r="DS12" s="42">
        <f t="shared" si="3"/>
        <v>0</v>
      </c>
      <c r="DT12" s="58"/>
      <c r="DU12" s="58"/>
    </row>
    <row r="13" spans="1:125" ht="15" customHeight="1" x14ac:dyDescent="0.4">
      <c r="A13" s="55"/>
      <c r="B13" s="41" t="s">
        <v>127</v>
      </c>
      <c r="C13" s="42">
        <f t="shared" ref="C13:AH13" si="4">IF(C7=RETENTION_RELEASE_MONTH,SUM($C$12:$DS$12),0)</f>
        <v>0</v>
      </c>
      <c r="D13" s="42">
        <f t="shared" si="4"/>
        <v>0</v>
      </c>
      <c r="E13" s="42">
        <f t="shared" si="4"/>
        <v>0</v>
      </c>
      <c r="F13" s="42">
        <f t="shared" si="4"/>
        <v>0</v>
      </c>
      <c r="G13" s="42">
        <f t="shared" si="4"/>
        <v>0</v>
      </c>
      <c r="H13" s="42">
        <f t="shared" si="4"/>
        <v>0</v>
      </c>
      <c r="I13" s="42">
        <f t="shared" si="4"/>
        <v>0</v>
      </c>
      <c r="J13" s="42">
        <f t="shared" si="4"/>
        <v>0</v>
      </c>
      <c r="K13" s="42">
        <f t="shared" si="4"/>
        <v>0</v>
      </c>
      <c r="L13" s="42">
        <f t="shared" si="4"/>
        <v>0</v>
      </c>
      <c r="M13" s="42">
        <f t="shared" si="4"/>
        <v>0</v>
      </c>
      <c r="N13" s="42">
        <f t="shared" si="4"/>
        <v>0</v>
      </c>
      <c r="O13" s="42">
        <f t="shared" si="4"/>
        <v>0</v>
      </c>
      <c r="P13" s="42">
        <f t="shared" si="4"/>
        <v>0</v>
      </c>
      <c r="Q13" s="42">
        <f t="shared" si="4"/>
        <v>0</v>
      </c>
      <c r="R13" s="42">
        <f t="shared" si="4"/>
        <v>0</v>
      </c>
      <c r="S13" s="42">
        <f t="shared" si="4"/>
        <v>0</v>
      </c>
      <c r="T13" s="42">
        <f t="shared" si="4"/>
        <v>0</v>
      </c>
      <c r="U13" s="42">
        <f t="shared" si="4"/>
        <v>0</v>
      </c>
      <c r="V13" s="42">
        <f t="shared" si="4"/>
        <v>0</v>
      </c>
      <c r="W13" s="42">
        <f t="shared" si="4"/>
        <v>0</v>
      </c>
      <c r="X13" s="42">
        <f t="shared" si="4"/>
        <v>0</v>
      </c>
      <c r="Y13" s="42">
        <f t="shared" si="4"/>
        <v>0</v>
      </c>
      <c r="Z13" s="42">
        <f t="shared" si="4"/>
        <v>0</v>
      </c>
      <c r="AA13" s="42">
        <f t="shared" si="4"/>
        <v>0</v>
      </c>
      <c r="AB13" s="42">
        <f t="shared" si="4"/>
        <v>0</v>
      </c>
      <c r="AC13" s="42">
        <f t="shared" si="4"/>
        <v>0</v>
      </c>
      <c r="AD13" s="42">
        <f t="shared" si="4"/>
        <v>0</v>
      </c>
      <c r="AE13" s="42">
        <f t="shared" si="4"/>
        <v>0</v>
      </c>
      <c r="AF13" s="42">
        <f t="shared" si="4"/>
        <v>0</v>
      </c>
      <c r="AG13" s="42">
        <f t="shared" si="4"/>
        <v>0</v>
      </c>
      <c r="AH13" s="42">
        <f t="shared" si="4"/>
        <v>0</v>
      </c>
      <c r="AI13" s="42">
        <f t="shared" ref="AI13:BN13" si="5">IF(AI7=RETENTION_RELEASE_MONTH,SUM($C$12:$DS$12),0)</f>
        <v>0</v>
      </c>
      <c r="AJ13" s="42">
        <f t="shared" si="5"/>
        <v>0</v>
      </c>
      <c r="AK13" s="42">
        <f t="shared" si="5"/>
        <v>0</v>
      </c>
      <c r="AL13" s="42">
        <f t="shared" si="5"/>
        <v>0</v>
      </c>
      <c r="AM13" s="42">
        <f t="shared" si="5"/>
        <v>0</v>
      </c>
      <c r="AN13" s="42">
        <f t="shared" si="5"/>
        <v>0</v>
      </c>
      <c r="AO13" s="42">
        <f t="shared" si="5"/>
        <v>0</v>
      </c>
      <c r="AP13" s="42">
        <f t="shared" si="5"/>
        <v>0</v>
      </c>
      <c r="AQ13" s="42">
        <f t="shared" si="5"/>
        <v>0</v>
      </c>
      <c r="AR13" s="42">
        <f t="shared" si="5"/>
        <v>0</v>
      </c>
      <c r="AS13" s="42">
        <f t="shared" si="5"/>
        <v>0</v>
      </c>
      <c r="AT13" s="42">
        <f t="shared" si="5"/>
        <v>0</v>
      </c>
      <c r="AU13" s="42">
        <f t="shared" si="5"/>
        <v>0</v>
      </c>
      <c r="AV13" s="42">
        <f t="shared" si="5"/>
        <v>0</v>
      </c>
      <c r="AW13" s="42">
        <f t="shared" si="5"/>
        <v>0</v>
      </c>
      <c r="AX13" s="42">
        <f t="shared" si="5"/>
        <v>0</v>
      </c>
      <c r="AY13" s="42">
        <f t="shared" si="5"/>
        <v>0</v>
      </c>
      <c r="AZ13" s="42">
        <f t="shared" si="5"/>
        <v>0</v>
      </c>
      <c r="BA13" s="42">
        <f t="shared" si="5"/>
        <v>0</v>
      </c>
      <c r="BB13" s="42">
        <f t="shared" si="5"/>
        <v>0</v>
      </c>
      <c r="BC13" s="42">
        <f t="shared" si="5"/>
        <v>0</v>
      </c>
      <c r="BD13" s="42">
        <f t="shared" si="5"/>
        <v>0</v>
      </c>
      <c r="BE13" s="42">
        <f t="shared" si="5"/>
        <v>0</v>
      </c>
      <c r="BF13" s="42">
        <f t="shared" si="5"/>
        <v>0</v>
      </c>
      <c r="BG13" s="42">
        <f t="shared" si="5"/>
        <v>0</v>
      </c>
      <c r="BH13" s="42">
        <f t="shared" si="5"/>
        <v>0</v>
      </c>
      <c r="BI13" s="42">
        <f t="shared" si="5"/>
        <v>0</v>
      </c>
      <c r="BJ13" s="42">
        <f t="shared" si="5"/>
        <v>0</v>
      </c>
      <c r="BK13" s="42">
        <f t="shared" si="5"/>
        <v>0</v>
      </c>
      <c r="BL13" s="42">
        <f t="shared" si="5"/>
        <v>0</v>
      </c>
      <c r="BM13" s="42">
        <f t="shared" si="5"/>
        <v>0</v>
      </c>
      <c r="BN13" s="42">
        <f t="shared" si="5"/>
        <v>0</v>
      </c>
      <c r="BO13" s="42">
        <f t="shared" ref="BO13:CT13" si="6">IF(BO7=RETENTION_RELEASE_MONTH,SUM($C$12:$DS$12),0)</f>
        <v>0</v>
      </c>
      <c r="BP13" s="42">
        <f t="shared" si="6"/>
        <v>0</v>
      </c>
      <c r="BQ13" s="42">
        <f t="shared" si="6"/>
        <v>0</v>
      </c>
      <c r="BR13" s="42">
        <f t="shared" si="6"/>
        <v>0</v>
      </c>
      <c r="BS13" s="42">
        <f t="shared" si="6"/>
        <v>0</v>
      </c>
      <c r="BT13" s="42">
        <f t="shared" si="6"/>
        <v>0</v>
      </c>
      <c r="BU13" s="42">
        <f t="shared" si="6"/>
        <v>0</v>
      </c>
      <c r="BV13" s="42">
        <f t="shared" si="6"/>
        <v>0</v>
      </c>
      <c r="BW13" s="42">
        <f t="shared" si="6"/>
        <v>0</v>
      </c>
      <c r="BX13" s="42">
        <f t="shared" si="6"/>
        <v>0</v>
      </c>
      <c r="BY13" s="42">
        <f t="shared" si="6"/>
        <v>0</v>
      </c>
      <c r="BZ13" s="42">
        <f t="shared" si="6"/>
        <v>0</v>
      </c>
      <c r="CA13" s="42">
        <f t="shared" si="6"/>
        <v>0</v>
      </c>
      <c r="CB13" s="42">
        <f t="shared" si="6"/>
        <v>0</v>
      </c>
      <c r="CC13" s="42">
        <f t="shared" si="6"/>
        <v>0</v>
      </c>
      <c r="CD13" s="42">
        <f t="shared" si="6"/>
        <v>0</v>
      </c>
      <c r="CE13" s="42">
        <f t="shared" si="6"/>
        <v>0</v>
      </c>
      <c r="CF13" s="42">
        <f t="shared" si="6"/>
        <v>0</v>
      </c>
      <c r="CG13" s="42">
        <f t="shared" si="6"/>
        <v>0</v>
      </c>
      <c r="CH13" s="42">
        <f t="shared" si="6"/>
        <v>0</v>
      </c>
      <c r="CI13" s="42">
        <f t="shared" si="6"/>
        <v>0</v>
      </c>
      <c r="CJ13" s="42">
        <f t="shared" si="6"/>
        <v>0</v>
      </c>
      <c r="CK13" s="42">
        <f t="shared" si="6"/>
        <v>0</v>
      </c>
      <c r="CL13" s="42">
        <f t="shared" si="6"/>
        <v>0</v>
      </c>
      <c r="CM13" s="42">
        <f t="shared" si="6"/>
        <v>0</v>
      </c>
      <c r="CN13" s="42">
        <f t="shared" si="6"/>
        <v>0</v>
      </c>
      <c r="CO13" s="42">
        <f t="shared" si="6"/>
        <v>0</v>
      </c>
      <c r="CP13" s="42">
        <f t="shared" si="6"/>
        <v>0</v>
      </c>
      <c r="CQ13" s="42">
        <f t="shared" si="6"/>
        <v>0</v>
      </c>
      <c r="CR13" s="42">
        <f t="shared" si="6"/>
        <v>0</v>
      </c>
      <c r="CS13" s="42">
        <f t="shared" si="6"/>
        <v>0</v>
      </c>
      <c r="CT13" s="42">
        <f t="shared" si="6"/>
        <v>0</v>
      </c>
      <c r="CU13" s="42">
        <f t="shared" ref="CU13:DS13" si="7">IF(CU7=RETENTION_RELEASE_MONTH,SUM($C$12:$DS$12),0)</f>
        <v>0</v>
      </c>
      <c r="CV13" s="42">
        <f t="shared" si="7"/>
        <v>0</v>
      </c>
      <c r="CW13" s="42">
        <f t="shared" si="7"/>
        <v>0</v>
      </c>
      <c r="CX13" s="42">
        <f t="shared" si="7"/>
        <v>0</v>
      </c>
      <c r="CY13" s="42">
        <f t="shared" si="7"/>
        <v>0</v>
      </c>
      <c r="CZ13" s="42">
        <f t="shared" si="7"/>
        <v>0</v>
      </c>
      <c r="DA13" s="42">
        <f t="shared" si="7"/>
        <v>0</v>
      </c>
      <c r="DB13" s="42">
        <f t="shared" si="7"/>
        <v>0</v>
      </c>
      <c r="DC13" s="42">
        <f t="shared" si="7"/>
        <v>0</v>
      </c>
      <c r="DD13" s="42">
        <f t="shared" si="7"/>
        <v>0</v>
      </c>
      <c r="DE13" s="42">
        <f t="shared" si="7"/>
        <v>0</v>
      </c>
      <c r="DF13" s="42">
        <f t="shared" si="7"/>
        <v>0</v>
      </c>
      <c r="DG13" s="42">
        <f t="shared" si="7"/>
        <v>0</v>
      </c>
      <c r="DH13" s="42">
        <f t="shared" si="7"/>
        <v>0</v>
      </c>
      <c r="DI13" s="42">
        <f t="shared" si="7"/>
        <v>0</v>
      </c>
      <c r="DJ13" s="42">
        <f t="shared" si="7"/>
        <v>0</v>
      </c>
      <c r="DK13" s="42">
        <f t="shared" si="7"/>
        <v>0</v>
      </c>
      <c r="DL13" s="42">
        <f t="shared" si="7"/>
        <v>0</v>
      </c>
      <c r="DM13" s="42">
        <f t="shared" si="7"/>
        <v>0</v>
      </c>
      <c r="DN13" s="42">
        <f t="shared" si="7"/>
        <v>0</v>
      </c>
      <c r="DO13" s="42">
        <f t="shared" si="7"/>
        <v>0</v>
      </c>
      <c r="DP13" s="42">
        <f t="shared" si="7"/>
        <v>0</v>
      </c>
      <c r="DQ13" s="42">
        <f t="shared" si="7"/>
        <v>0</v>
      </c>
      <c r="DR13" s="42">
        <f t="shared" si="7"/>
        <v>0</v>
      </c>
      <c r="DS13" s="42">
        <f t="shared" si="7"/>
        <v>0</v>
      </c>
      <c r="DT13" s="58"/>
      <c r="DU13" s="58"/>
    </row>
    <row r="14" spans="1:125" ht="15" customHeight="1" x14ac:dyDescent="0.4">
      <c r="A14" s="55"/>
      <c r="B14" s="39" t="s">
        <v>128</v>
      </c>
      <c r="C14" s="43">
        <f t="shared" ref="C14:AH14" si="8">C11-C12+C13</f>
        <v>0</v>
      </c>
      <c r="D14" s="43">
        <f t="shared" si="8"/>
        <v>0</v>
      </c>
      <c r="E14" s="43">
        <f t="shared" si="8"/>
        <v>0</v>
      </c>
      <c r="F14" s="43">
        <f t="shared" si="8"/>
        <v>0</v>
      </c>
      <c r="G14" s="43">
        <f t="shared" si="8"/>
        <v>0</v>
      </c>
      <c r="H14" s="43">
        <f t="shared" si="8"/>
        <v>0</v>
      </c>
      <c r="I14" s="43">
        <f t="shared" si="8"/>
        <v>0</v>
      </c>
      <c r="J14" s="43">
        <f t="shared" si="8"/>
        <v>0</v>
      </c>
      <c r="K14" s="43">
        <f t="shared" si="8"/>
        <v>0</v>
      </c>
      <c r="L14" s="43">
        <f t="shared" si="8"/>
        <v>0</v>
      </c>
      <c r="M14" s="43">
        <f t="shared" si="8"/>
        <v>0</v>
      </c>
      <c r="N14" s="43">
        <f t="shared" si="8"/>
        <v>0</v>
      </c>
      <c r="O14" s="43">
        <f t="shared" si="8"/>
        <v>0</v>
      </c>
      <c r="P14" s="43">
        <f t="shared" si="8"/>
        <v>0</v>
      </c>
      <c r="Q14" s="43">
        <f t="shared" si="8"/>
        <v>0</v>
      </c>
      <c r="R14" s="43">
        <f t="shared" si="8"/>
        <v>0</v>
      </c>
      <c r="S14" s="43">
        <f t="shared" si="8"/>
        <v>0</v>
      </c>
      <c r="T14" s="43">
        <f t="shared" si="8"/>
        <v>0</v>
      </c>
      <c r="U14" s="43">
        <f t="shared" si="8"/>
        <v>0</v>
      </c>
      <c r="V14" s="43">
        <f t="shared" si="8"/>
        <v>0</v>
      </c>
      <c r="W14" s="43">
        <f t="shared" si="8"/>
        <v>0</v>
      </c>
      <c r="X14" s="43">
        <f t="shared" si="8"/>
        <v>0</v>
      </c>
      <c r="Y14" s="43">
        <f t="shared" si="8"/>
        <v>0</v>
      </c>
      <c r="Z14" s="43">
        <f t="shared" si="8"/>
        <v>0</v>
      </c>
      <c r="AA14" s="43">
        <f t="shared" si="8"/>
        <v>0</v>
      </c>
      <c r="AB14" s="43">
        <f t="shared" si="8"/>
        <v>0</v>
      </c>
      <c r="AC14" s="43">
        <f t="shared" si="8"/>
        <v>0</v>
      </c>
      <c r="AD14" s="43">
        <f t="shared" si="8"/>
        <v>0</v>
      </c>
      <c r="AE14" s="43">
        <f t="shared" si="8"/>
        <v>0</v>
      </c>
      <c r="AF14" s="43">
        <f t="shared" si="8"/>
        <v>0</v>
      </c>
      <c r="AG14" s="43">
        <f t="shared" si="8"/>
        <v>0</v>
      </c>
      <c r="AH14" s="43">
        <f t="shared" si="8"/>
        <v>0</v>
      </c>
      <c r="AI14" s="43">
        <f t="shared" ref="AI14:BN14" si="9">AI11-AI12+AI13</f>
        <v>0</v>
      </c>
      <c r="AJ14" s="43">
        <f t="shared" si="9"/>
        <v>0</v>
      </c>
      <c r="AK14" s="43">
        <f t="shared" si="9"/>
        <v>0</v>
      </c>
      <c r="AL14" s="43">
        <f t="shared" si="9"/>
        <v>0</v>
      </c>
      <c r="AM14" s="43">
        <f t="shared" si="9"/>
        <v>0</v>
      </c>
      <c r="AN14" s="43">
        <f t="shared" si="9"/>
        <v>0</v>
      </c>
      <c r="AO14" s="43">
        <f t="shared" si="9"/>
        <v>0</v>
      </c>
      <c r="AP14" s="43">
        <f t="shared" si="9"/>
        <v>0</v>
      </c>
      <c r="AQ14" s="43">
        <f t="shared" si="9"/>
        <v>0</v>
      </c>
      <c r="AR14" s="43">
        <f t="shared" si="9"/>
        <v>0</v>
      </c>
      <c r="AS14" s="43">
        <f t="shared" si="9"/>
        <v>0</v>
      </c>
      <c r="AT14" s="43">
        <f t="shared" si="9"/>
        <v>0</v>
      </c>
      <c r="AU14" s="43">
        <f t="shared" si="9"/>
        <v>0</v>
      </c>
      <c r="AV14" s="43">
        <f t="shared" si="9"/>
        <v>0</v>
      </c>
      <c r="AW14" s="43">
        <f t="shared" si="9"/>
        <v>0</v>
      </c>
      <c r="AX14" s="43">
        <f t="shared" si="9"/>
        <v>0</v>
      </c>
      <c r="AY14" s="43">
        <f t="shared" si="9"/>
        <v>0</v>
      </c>
      <c r="AZ14" s="43">
        <f t="shared" si="9"/>
        <v>0</v>
      </c>
      <c r="BA14" s="43">
        <f t="shared" si="9"/>
        <v>0</v>
      </c>
      <c r="BB14" s="43">
        <f t="shared" si="9"/>
        <v>0</v>
      </c>
      <c r="BC14" s="43">
        <f t="shared" si="9"/>
        <v>0</v>
      </c>
      <c r="BD14" s="43">
        <f t="shared" si="9"/>
        <v>0</v>
      </c>
      <c r="BE14" s="43">
        <f t="shared" si="9"/>
        <v>0</v>
      </c>
      <c r="BF14" s="43">
        <f t="shared" si="9"/>
        <v>0</v>
      </c>
      <c r="BG14" s="43">
        <f t="shared" si="9"/>
        <v>0</v>
      </c>
      <c r="BH14" s="43">
        <f t="shared" si="9"/>
        <v>0</v>
      </c>
      <c r="BI14" s="43">
        <f t="shared" si="9"/>
        <v>0</v>
      </c>
      <c r="BJ14" s="43">
        <f t="shared" si="9"/>
        <v>0</v>
      </c>
      <c r="BK14" s="43">
        <f t="shared" si="9"/>
        <v>0</v>
      </c>
      <c r="BL14" s="43">
        <f t="shared" si="9"/>
        <v>0</v>
      </c>
      <c r="BM14" s="43">
        <f t="shared" si="9"/>
        <v>0</v>
      </c>
      <c r="BN14" s="43">
        <f t="shared" si="9"/>
        <v>0</v>
      </c>
      <c r="BO14" s="43">
        <f t="shared" ref="BO14:CT14" si="10">BO11-BO12+BO13</f>
        <v>0</v>
      </c>
      <c r="BP14" s="43">
        <f t="shared" si="10"/>
        <v>0</v>
      </c>
      <c r="BQ14" s="43">
        <f t="shared" si="10"/>
        <v>0</v>
      </c>
      <c r="BR14" s="43">
        <f t="shared" si="10"/>
        <v>0</v>
      </c>
      <c r="BS14" s="43">
        <f t="shared" si="10"/>
        <v>0</v>
      </c>
      <c r="BT14" s="43">
        <f t="shared" si="10"/>
        <v>0</v>
      </c>
      <c r="BU14" s="43">
        <f t="shared" si="10"/>
        <v>0</v>
      </c>
      <c r="BV14" s="43">
        <f t="shared" si="10"/>
        <v>0</v>
      </c>
      <c r="BW14" s="43">
        <f t="shared" si="10"/>
        <v>0</v>
      </c>
      <c r="BX14" s="43">
        <f t="shared" si="10"/>
        <v>0</v>
      </c>
      <c r="BY14" s="43">
        <f t="shared" si="10"/>
        <v>0</v>
      </c>
      <c r="BZ14" s="43">
        <f t="shared" si="10"/>
        <v>0</v>
      </c>
      <c r="CA14" s="43">
        <f t="shared" si="10"/>
        <v>0</v>
      </c>
      <c r="CB14" s="43">
        <f t="shared" si="10"/>
        <v>0</v>
      </c>
      <c r="CC14" s="43">
        <f t="shared" si="10"/>
        <v>0</v>
      </c>
      <c r="CD14" s="43">
        <f t="shared" si="10"/>
        <v>0</v>
      </c>
      <c r="CE14" s="43">
        <f t="shared" si="10"/>
        <v>0</v>
      </c>
      <c r="CF14" s="43">
        <f t="shared" si="10"/>
        <v>0</v>
      </c>
      <c r="CG14" s="43">
        <f t="shared" si="10"/>
        <v>0</v>
      </c>
      <c r="CH14" s="43">
        <f t="shared" si="10"/>
        <v>0</v>
      </c>
      <c r="CI14" s="43">
        <f t="shared" si="10"/>
        <v>0</v>
      </c>
      <c r="CJ14" s="43">
        <f t="shared" si="10"/>
        <v>0</v>
      </c>
      <c r="CK14" s="43">
        <f t="shared" si="10"/>
        <v>0</v>
      </c>
      <c r="CL14" s="43">
        <f t="shared" si="10"/>
        <v>0</v>
      </c>
      <c r="CM14" s="43">
        <f t="shared" si="10"/>
        <v>0</v>
      </c>
      <c r="CN14" s="43">
        <f t="shared" si="10"/>
        <v>0</v>
      </c>
      <c r="CO14" s="43">
        <f t="shared" si="10"/>
        <v>0</v>
      </c>
      <c r="CP14" s="43">
        <f t="shared" si="10"/>
        <v>0</v>
      </c>
      <c r="CQ14" s="43">
        <f t="shared" si="10"/>
        <v>0</v>
      </c>
      <c r="CR14" s="43">
        <f t="shared" si="10"/>
        <v>0</v>
      </c>
      <c r="CS14" s="43">
        <f t="shared" si="10"/>
        <v>0</v>
      </c>
      <c r="CT14" s="43">
        <f t="shared" si="10"/>
        <v>0</v>
      </c>
      <c r="CU14" s="43">
        <f t="shared" ref="CU14:DS14" si="11">CU11-CU12+CU13</f>
        <v>0</v>
      </c>
      <c r="CV14" s="43">
        <f t="shared" si="11"/>
        <v>0</v>
      </c>
      <c r="CW14" s="43">
        <f t="shared" si="11"/>
        <v>0</v>
      </c>
      <c r="CX14" s="43">
        <f t="shared" si="11"/>
        <v>0</v>
      </c>
      <c r="CY14" s="43">
        <f t="shared" si="11"/>
        <v>0</v>
      </c>
      <c r="CZ14" s="43">
        <f t="shared" si="11"/>
        <v>0</v>
      </c>
      <c r="DA14" s="43">
        <f t="shared" si="11"/>
        <v>0</v>
      </c>
      <c r="DB14" s="43">
        <f t="shared" si="11"/>
        <v>0</v>
      </c>
      <c r="DC14" s="43">
        <f t="shared" si="11"/>
        <v>0</v>
      </c>
      <c r="DD14" s="43">
        <f t="shared" si="11"/>
        <v>0</v>
      </c>
      <c r="DE14" s="43">
        <f t="shared" si="11"/>
        <v>0</v>
      </c>
      <c r="DF14" s="43">
        <f t="shared" si="11"/>
        <v>0</v>
      </c>
      <c r="DG14" s="43">
        <f t="shared" si="11"/>
        <v>0</v>
      </c>
      <c r="DH14" s="43">
        <f t="shared" si="11"/>
        <v>0</v>
      </c>
      <c r="DI14" s="43">
        <f t="shared" si="11"/>
        <v>0</v>
      </c>
      <c r="DJ14" s="43">
        <f t="shared" si="11"/>
        <v>0</v>
      </c>
      <c r="DK14" s="43">
        <f t="shared" si="11"/>
        <v>0</v>
      </c>
      <c r="DL14" s="43">
        <f t="shared" si="11"/>
        <v>0</v>
      </c>
      <c r="DM14" s="43">
        <f t="shared" si="11"/>
        <v>0</v>
      </c>
      <c r="DN14" s="43">
        <f t="shared" si="11"/>
        <v>0</v>
      </c>
      <c r="DO14" s="43">
        <f t="shared" si="11"/>
        <v>0</v>
      </c>
      <c r="DP14" s="43">
        <f t="shared" si="11"/>
        <v>0</v>
      </c>
      <c r="DQ14" s="43">
        <f t="shared" si="11"/>
        <v>0</v>
      </c>
      <c r="DR14" s="43">
        <f t="shared" si="11"/>
        <v>0</v>
      </c>
      <c r="DS14" s="43">
        <f t="shared" si="11"/>
        <v>0</v>
      </c>
      <c r="DT14" s="58"/>
      <c r="DU14" s="58"/>
    </row>
    <row r="15" spans="1:125" ht="6" customHeight="1" x14ac:dyDescent="0.4">
      <c r="A15" s="55"/>
      <c r="B15" s="55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8"/>
      <c r="AQ15" s="58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  <c r="BI15" s="58"/>
      <c r="BJ15" s="58"/>
      <c r="BK15" s="58"/>
      <c r="BL15" s="58"/>
      <c r="BM15" s="58"/>
      <c r="BN15" s="58"/>
      <c r="BO15" s="58"/>
      <c r="BP15" s="58"/>
      <c r="BQ15" s="58"/>
      <c r="BR15" s="58"/>
      <c r="BS15" s="58"/>
      <c r="BT15" s="58"/>
      <c r="BU15" s="58"/>
      <c r="BV15" s="58"/>
      <c r="BW15" s="58"/>
      <c r="BX15" s="58"/>
      <c r="BY15" s="58"/>
      <c r="BZ15" s="58"/>
      <c r="CA15" s="58"/>
      <c r="CB15" s="58"/>
      <c r="CC15" s="58"/>
      <c r="CD15" s="58"/>
      <c r="CE15" s="58"/>
      <c r="CF15" s="58"/>
      <c r="CG15" s="58"/>
      <c r="CH15" s="58"/>
      <c r="CI15" s="58"/>
      <c r="CJ15" s="58"/>
      <c r="CK15" s="58"/>
      <c r="CL15" s="58"/>
      <c r="CM15" s="58"/>
      <c r="CN15" s="58"/>
      <c r="CO15" s="58"/>
      <c r="CP15" s="58"/>
      <c r="CQ15" s="58"/>
      <c r="CR15" s="58"/>
      <c r="CS15" s="58"/>
      <c r="CT15" s="58"/>
      <c r="CU15" s="58"/>
      <c r="CV15" s="58"/>
      <c r="CW15" s="58"/>
      <c r="CX15" s="58"/>
      <c r="CY15" s="58"/>
      <c r="CZ15" s="58"/>
      <c r="DA15" s="58"/>
      <c r="DB15" s="58"/>
      <c r="DC15" s="58"/>
      <c r="DD15" s="58"/>
      <c r="DE15" s="58"/>
      <c r="DF15" s="58"/>
      <c r="DG15" s="58"/>
      <c r="DH15" s="58"/>
      <c r="DI15" s="58"/>
      <c r="DJ15" s="58"/>
      <c r="DK15" s="58"/>
      <c r="DL15" s="58"/>
      <c r="DM15" s="58"/>
      <c r="DN15" s="58"/>
      <c r="DO15" s="58"/>
      <c r="DP15" s="58"/>
      <c r="DQ15" s="58"/>
      <c r="DR15" s="58"/>
      <c r="DS15" s="58"/>
      <c r="DT15" s="58"/>
      <c r="DU15" s="58"/>
    </row>
    <row r="16" spans="1:125" ht="22.05" customHeight="1" x14ac:dyDescent="0.5">
      <c r="A16" s="55"/>
      <c r="B16" s="50" t="s">
        <v>129</v>
      </c>
      <c r="C16" s="49"/>
      <c r="D16" s="49"/>
      <c r="E16" s="49"/>
      <c r="F16" s="49"/>
      <c r="G16" s="49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8"/>
      <c r="AQ16" s="58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  <c r="BI16" s="58"/>
      <c r="BJ16" s="58"/>
      <c r="BK16" s="58"/>
      <c r="BL16" s="58"/>
      <c r="BM16" s="58"/>
      <c r="BN16" s="58"/>
      <c r="BO16" s="58"/>
      <c r="BP16" s="58"/>
      <c r="BQ16" s="58"/>
      <c r="BR16" s="58"/>
      <c r="BS16" s="58"/>
      <c r="BT16" s="58"/>
      <c r="BU16" s="58"/>
      <c r="BV16" s="58"/>
      <c r="BW16" s="58"/>
      <c r="BX16" s="58"/>
      <c r="BY16" s="58"/>
      <c r="BZ16" s="58"/>
      <c r="CA16" s="58"/>
      <c r="CB16" s="58"/>
      <c r="CC16" s="58"/>
      <c r="CD16" s="58"/>
      <c r="CE16" s="58"/>
      <c r="CF16" s="58"/>
      <c r="CG16" s="58"/>
      <c r="CH16" s="58"/>
      <c r="CI16" s="58"/>
      <c r="CJ16" s="58"/>
      <c r="CK16" s="58"/>
      <c r="CL16" s="58"/>
      <c r="CM16" s="58"/>
      <c r="CN16" s="58"/>
      <c r="CO16" s="58"/>
      <c r="CP16" s="58"/>
      <c r="CQ16" s="58"/>
      <c r="CR16" s="58"/>
      <c r="CS16" s="58"/>
      <c r="CT16" s="58"/>
      <c r="CU16" s="58"/>
      <c r="CV16" s="58"/>
      <c r="CW16" s="58"/>
      <c r="CX16" s="58"/>
      <c r="CY16" s="58"/>
      <c r="CZ16" s="58"/>
      <c r="DA16" s="58"/>
      <c r="DB16" s="58"/>
      <c r="DC16" s="58"/>
      <c r="DD16" s="58"/>
      <c r="DE16" s="58"/>
      <c r="DF16" s="58"/>
      <c r="DG16" s="58"/>
      <c r="DH16" s="58"/>
      <c r="DI16" s="58"/>
      <c r="DJ16" s="58"/>
      <c r="DK16" s="58"/>
      <c r="DL16" s="58"/>
      <c r="DM16" s="58"/>
      <c r="DN16" s="58"/>
      <c r="DO16" s="58"/>
      <c r="DP16" s="58"/>
      <c r="DQ16" s="58"/>
      <c r="DR16" s="58"/>
      <c r="DS16" s="58"/>
      <c r="DT16" s="58"/>
      <c r="DU16" s="58"/>
    </row>
    <row r="17" spans="1:125" ht="15" customHeight="1" x14ac:dyDescent="0.4">
      <c r="A17" s="55"/>
      <c r="B17" s="41" t="s">
        <v>130</v>
      </c>
      <c r="C17" s="42">
        <f t="shared" ref="C17:AH17" si="12">C14*VAT_RATE_CAPEX</f>
        <v>0</v>
      </c>
      <c r="D17" s="42">
        <f t="shared" si="12"/>
        <v>0</v>
      </c>
      <c r="E17" s="42">
        <f t="shared" si="12"/>
        <v>0</v>
      </c>
      <c r="F17" s="42">
        <f t="shared" si="12"/>
        <v>0</v>
      </c>
      <c r="G17" s="42">
        <f t="shared" si="12"/>
        <v>0</v>
      </c>
      <c r="H17" s="42">
        <f t="shared" si="12"/>
        <v>0</v>
      </c>
      <c r="I17" s="42">
        <f t="shared" si="12"/>
        <v>0</v>
      </c>
      <c r="J17" s="42">
        <f t="shared" si="12"/>
        <v>0</v>
      </c>
      <c r="K17" s="42">
        <f t="shared" si="12"/>
        <v>0</v>
      </c>
      <c r="L17" s="42">
        <f t="shared" si="12"/>
        <v>0</v>
      </c>
      <c r="M17" s="42">
        <f t="shared" si="12"/>
        <v>0</v>
      </c>
      <c r="N17" s="42">
        <f t="shared" si="12"/>
        <v>0</v>
      </c>
      <c r="O17" s="42">
        <f t="shared" si="12"/>
        <v>0</v>
      </c>
      <c r="P17" s="42">
        <f t="shared" si="12"/>
        <v>0</v>
      </c>
      <c r="Q17" s="42">
        <f t="shared" si="12"/>
        <v>0</v>
      </c>
      <c r="R17" s="42">
        <f t="shared" si="12"/>
        <v>0</v>
      </c>
      <c r="S17" s="42">
        <f t="shared" si="12"/>
        <v>0</v>
      </c>
      <c r="T17" s="42">
        <f t="shared" si="12"/>
        <v>0</v>
      </c>
      <c r="U17" s="42">
        <f t="shared" si="12"/>
        <v>0</v>
      </c>
      <c r="V17" s="42">
        <f t="shared" si="12"/>
        <v>0</v>
      </c>
      <c r="W17" s="42">
        <f t="shared" si="12"/>
        <v>0</v>
      </c>
      <c r="X17" s="42">
        <f t="shared" si="12"/>
        <v>0</v>
      </c>
      <c r="Y17" s="42">
        <f t="shared" si="12"/>
        <v>0</v>
      </c>
      <c r="Z17" s="42">
        <f t="shared" si="12"/>
        <v>0</v>
      </c>
      <c r="AA17" s="42">
        <f t="shared" si="12"/>
        <v>0</v>
      </c>
      <c r="AB17" s="42">
        <f t="shared" si="12"/>
        <v>0</v>
      </c>
      <c r="AC17" s="42">
        <f t="shared" si="12"/>
        <v>0</v>
      </c>
      <c r="AD17" s="42">
        <f t="shared" si="12"/>
        <v>0</v>
      </c>
      <c r="AE17" s="42">
        <f t="shared" si="12"/>
        <v>0</v>
      </c>
      <c r="AF17" s="42">
        <f t="shared" si="12"/>
        <v>0</v>
      </c>
      <c r="AG17" s="42">
        <f t="shared" si="12"/>
        <v>0</v>
      </c>
      <c r="AH17" s="42">
        <f t="shared" si="12"/>
        <v>0</v>
      </c>
      <c r="AI17" s="42">
        <f t="shared" ref="AI17:BN17" si="13">AI14*VAT_RATE_CAPEX</f>
        <v>0</v>
      </c>
      <c r="AJ17" s="42">
        <f t="shared" si="13"/>
        <v>0</v>
      </c>
      <c r="AK17" s="42">
        <f t="shared" si="13"/>
        <v>0</v>
      </c>
      <c r="AL17" s="42">
        <f t="shared" si="13"/>
        <v>0</v>
      </c>
      <c r="AM17" s="42">
        <f t="shared" si="13"/>
        <v>0</v>
      </c>
      <c r="AN17" s="42">
        <f t="shared" si="13"/>
        <v>0</v>
      </c>
      <c r="AO17" s="42">
        <f t="shared" si="13"/>
        <v>0</v>
      </c>
      <c r="AP17" s="42">
        <f t="shared" si="13"/>
        <v>0</v>
      </c>
      <c r="AQ17" s="42">
        <f t="shared" si="13"/>
        <v>0</v>
      </c>
      <c r="AR17" s="42">
        <f t="shared" si="13"/>
        <v>0</v>
      </c>
      <c r="AS17" s="42">
        <f t="shared" si="13"/>
        <v>0</v>
      </c>
      <c r="AT17" s="42">
        <f t="shared" si="13"/>
        <v>0</v>
      </c>
      <c r="AU17" s="42">
        <f t="shared" si="13"/>
        <v>0</v>
      </c>
      <c r="AV17" s="42">
        <f t="shared" si="13"/>
        <v>0</v>
      </c>
      <c r="AW17" s="42">
        <f t="shared" si="13"/>
        <v>0</v>
      </c>
      <c r="AX17" s="42">
        <f t="shared" si="13"/>
        <v>0</v>
      </c>
      <c r="AY17" s="42">
        <f t="shared" si="13"/>
        <v>0</v>
      </c>
      <c r="AZ17" s="42">
        <f t="shared" si="13"/>
        <v>0</v>
      </c>
      <c r="BA17" s="42">
        <f t="shared" si="13"/>
        <v>0</v>
      </c>
      <c r="BB17" s="42">
        <f t="shared" si="13"/>
        <v>0</v>
      </c>
      <c r="BC17" s="42">
        <f t="shared" si="13"/>
        <v>0</v>
      </c>
      <c r="BD17" s="42">
        <f t="shared" si="13"/>
        <v>0</v>
      </c>
      <c r="BE17" s="42">
        <f t="shared" si="13"/>
        <v>0</v>
      </c>
      <c r="BF17" s="42">
        <f t="shared" si="13"/>
        <v>0</v>
      </c>
      <c r="BG17" s="42">
        <f t="shared" si="13"/>
        <v>0</v>
      </c>
      <c r="BH17" s="42">
        <f t="shared" si="13"/>
        <v>0</v>
      </c>
      <c r="BI17" s="42">
        <f t="shared" si="13"/>
        <v>0</v>
      </c>
      <c r="BJ17" s="42">
        <f t="shared" si="13"/>
        <v>0</v>
      </c>
      <c r="BK17" s="42">
        <f t="shared" si="13"/>
        <v>0</v>
      </c>
      <c r="BL17" s="42">
        <f t="shared" si="13"/>
        <v>0</v>
      </c>
      <c r="BM17" s="42">
        <f t="shared" si="13"/>
        <v>0</v>
      </c>
      <c r="BN17" s="42">
        <f t="shared" si="13"/>
        <v>0</v>
      </c>
      <c r="BO17" s="42">
        <f t="shared" ref="BO17:CT17" si="14">BO14*VAT_RATE_CAPEX</f>
        <v>0</v>
      </c>
      <c r="BP17" s="42">
        <f t="shared" si="14"/>
        <v>0</v>
      </c>
      <c r="BQ17" s="42">
        <f t="shared" si="14"/>
        <v>0</v>
      </c>
      <c r="BR17" s="42">
        <f t="shared" si="14"/>
        <v>0</v>
      </c>
      <c r="BS17" s="42">
        <f t="shared" si="14"/>
        <v>0</v>
      </c>
      <c r="BT17" s="42">
        <f t="shared" si="14"/>
        <v>0</v>
      </c>
      <c r="BU17" s="42">
        <f t="shared" si="14"/>
        <v>0</v>
      </c>
      <c r="BV17" s="42">
        <f t="shared" si="14"/>
        <v>0</v>
      </c>
      <c r="BW17" s="42">
        <f t="shared" si="14"/>
        <v>0</v>
      </c>
      <c r="BX17" s="42">
        <f t="shared" si="14"/>
        <v>0</v>
      </c>
      <c r="BY17" s="42">
        <f t="shared" si="14"/>
        <v>0</v>
      </c>
      <c r="BZ17" s="42">
        <f t="shared" si="14"/>
        <v>0</v>
      </c>
      <c r="CA17" s="42">
        <f t="shared" si="14"/>
        <v>0</v>
      </c>
      <c r="CB17" s="42">
        <f t="shared" si="14"/>
        <v>0</v>
      </c>
      <c r="CC17" s="42">
        <f t="shared" si="14"/>
        <v>0</v>
      </c>
      <c r="CD17" s="42">
        <f t="shared" si="14"/>
        <v>0</v>
      </c>
      <c r="CE17" s="42">
        <f t="shared" si="14"/>
        <v>0</v>
      </c>
      <c r="CF17" s="42">
        <f t="shared" si="14"/>
        <v>0</v>
      </c>
      <c r="CG17" s="42">
        <f t="shared" si="14"/>
        <v>0</v>
      </c>
      <c r="CH17" s="42">
        <f t="shared" si="14"/>
        <v>0</v>
      </c>
      <c r="CI17" s="42">
        <f t="shared" si="14"/>
        <v>0</v>
      </c>
      <c r="CJ17" s="42">
        <f t="shared" si="14"/>
        <v>0</v>
      </c>
      <c r="CK17" s="42">
        <f t="shared" si="14"/>
        <v>0</v>
      </c>
      <c r="CL17" s="42">
        <f t="shared" si="14"/>
        <v>0</v>
      </c>
      <c r="CM17" s="42">
        <f t="shared" si="14"/>
        <v>0</v>
      </c>
      <c r="CN17" s="42">
        <f t="shared" si="14"/>
        <v>0</v>
      </c>
      <c r="CO17" s="42">
        <f t="shared" si="14"/>
        <v>0</v>
      </c>
      <c r="CP17" s="42">
        <f t="shared" si="14"/>
        <v>0</v>
      </c>
      <c r="CQ17" s="42">
        <f t="shared" si="14"/>
        <v>0</v>
      </c>
      <c r="CR17" s="42">
        <f t="shared" si="14"/>
        <v>0</v>
      </c>
      <c r="CS17" s="42">
        <f t="shared" si="14"/>
        <v>0</v>
      </c>
      <c r="CT17" s="42">
        <f t="shared" si="14"/>
        <v>0</v>
      </c>
      <c r="CU17" s="42">
        <f t="shared" ref="CU17:DS17" si="15">CU14*VAT_RATE_CAPEX</f>
        <v>0</v>
      </c>
      <c r="CV17" s="42">
        <f t="shared" si="15"/>
        <v>0</v>
      </c>
      <c r="CW17" s="42">
        <f t="shared" si="15"/>
        <v>0</v>
      </c>
      <c r="CX17" s="42">
        <f t="shared" si="15"/>
        <v>0</v>
      </c>
      <c r="CY17" s="42">
        <f t="shared" si="15"/>
        <v>0</v>
      </c>
      <c r="CZ17" s="42">
        <f t="shared" si="15"/>
        <v>0</v>
      </c>
      <c r="DA17" s="42">
        <f t="shared" si="15"/>
        <v>0</v>
      </c>
      <c r="DB17" s="42">
        <f t="shared" si="15"/>
        <v>0</v>
      </c>
      <c r="DC17" s="42">
        <f t="shared" si="15"/>
        <v>0</v>
      </c>
      <c r="DD17" s="42">
        <f t="shared" si="15"/>
        <v>0</v>
      </c>
      <c r="DE17" s="42">
        <f t="shared" si="15"/>
        <v>0</v>
      </c>
      <c r="DF17" s="42">
        <f t="shared" si="15"/>
        <v>0</v>
      </c>
      <c r="DG17" s="42">
        <f t="shared" si="15"/>
        <v>0</v>
      </c>
      <c r="DH17" s="42">
        <f t="shared" si="15"/>
        <v>0</v>
      </c>
      <c r="DI17" s="42">
        <f t="shared" si="15"/>
        <v>0</v>
      </c>
      <c r="DJ17" s="42">
        <f t="shared" si="15"/>
        <v>0</v>
      </c>
      <c r="DK17" s="42">
        <f t="shared" si="15"/>
        <v>0</v>
      </c>
      <c r="DL17" s="42">
        <f t="shared" si="15"/>
        <v>0</v>
      </c>
      <c r="DM17" s="42">
        <f t="shared" si="15"/>
        <v>0</v>
      </c>
      <c r="DN17" s="42">
        <f t="shared" si="15"/>
        <v>0</v>
      </c>
      <c r="DO17" s="42">
        <f t="shared" si="15"/>
        <v>0</v>
      </c>
      <c r="DP17" s="42">
        <f t="shared" si="15"/>
        <v>0</v>
      </c>
      <c r="DQ17" s="42">
        <f t="shared" si="15"/>
        <v>0</v>
      </c>
      <c r="DR17" s="42">
        <f t="shared" si="15"/>
        <v>0</v>
      </c>
      <c r="DS17" s="42">
        <f t="shared" si="15"/>
        <v>0</v>
      </c>
      <c r="DT17" s="58"/>
      <c r="DU17" s="58"/>
    </row>
    <row r="18" spans="1:125" ht="15" customHeight="1" x14ac:dyDescent="0.4">
      <c r="A18" s="55"/>
      <c r="B18" s="41" t="s">
        <v>131</v>
      </c>
      <c r="C18" s="42">
        <v>0</v>
      </c>
      <c r="D18" s="42" cm="1">
        <f t="array" ref="D18">IF(D7&lt;VAT_REFUND_LAG,0,INDEX($C$17:$DS$17,1,D7-VAT_REFUND_LAG+1))</f>
        <v>0</v>
      </c>
      <c r="E18" s="42" cm="1">
        <f t="array" ref="E18">IF(E7&lt;VAT_REFUND_LAG,0,INDEX($C$17:$DS$17,1,E7-VAT_REFUND_LAG+1))</f>
        <v>0</v>
      </c>
      <c r="F18" s="42" cm="1">
        <f t="array" ref="F18">IF(F7&lt;VAT_REFUND_LAG,0,INDEX($C$17:$DS$17,1,F7-VAT_REFUND_LAG+1))</f>
        <v>0</v>
      </c>
      <c r="G18" s="42" cm="1">
        <f t="array" ref="G18">IF(G7&lt;VAT_REFUND_LAG,0,INDEX($C$17:$DS$17,1,G7-VAT_REFUND_LAG+1))</f>
        <v>0</v>
      </c>
      <c r="H18" s="42" cm="1">
        <f t="array" ref="H18">IF(H7&lt;VAT_REFUND_LAG,0,INDEX($C$17:$DS$17,1,H7-VAT_REFUND_LAG+1))</f>
        <v>0</v>
      </c>
      <c r="I18" s="42" cm="1">
        <f t="array" ref="I18">IF(I7&lt;VAT_REFUND_LAG,0,INDEX($C$17:$DS$17,1,I7-VAT_REFUND_LAG+1))</f>
        <v>0</v>
      </c>
      <c r="J18" s="42" cm="1">
        <f t="array" ref="J18">IF(J7&lt;VAT_REFUND_LAG,0,INDEX($C$17:$DS$17,1,J7-VAT_REFUND_LAG+1))</f>
        <v>0</v>
      </c>
      <c r="K18" s="42" cm="1">
        <f t="array" ref="K18">IF(K7&lt;VAT_REFUND_LAG,0,INDEX($C$17:$DS$17,1,K7-VAT_REFUND_LAG+1))</f>
        <v>0</v>
      </c>
      <c r="L18" s="42" cm="1">
        <f t="array" ref="L18">IF(L7&lt;VAT_REFUND_LAG,0,INDEX($C$17:$DS$17,1,L7-VAT_REFUND_LAG+1))</f>
        <v>0</v>
      </c>
      <c r="M18" s="42" cm="1">
        <f t="array" ref="M18">IF(M7&lt;VAT_REFUND_LAG,0,INDEX($C$17:$DS$17,1,M7-VAT_REFUND_LAG+1))</f>
        <v>0</v>
      </c>
      <c r="N18" s="42" cm="1">
        <f t="array" ref="N18">IF(N7&lt;VAT_REFUND_LAG,0,INDEX($C$17:$DS$17,1,N7-VAT_REFUND_LAG+1))</f>
        <v>0</v>
      </c>
      <c r="O18" s="42" cm="1">
        <f t="array" ref="O18">IF(O7&lt;VAT_REFUND_LAG,0,INDEX($C$17:$DS$17,1,O7-VAT_REFUND_LAG+1))</f>
        <v>0</v>
      </c>
      <c r="P18" s="42" cm="1">
        <f t="array" ref="P18">IF(P7&lt;VAT_REFUND_LAG,0,INDEX($C$17:$DS$17,1,P7-VAT_REFUND_LAG+1))</f>
        <v>0</v>
      </c>
      <c r="Q18" s="42" cm="1">
        <f t="array" ref="Q18">IF(Q7&lt;VAT_REFUND_LAG,0,INDEX($C$17:$DS$17,1,Q7-VAT_REFUND_LAG+1))</f>
        <v>0</v>
      </c>
      <c r="R18" s="42" cm="1">
        <f t="array" ref="R18">IF(R7&lt;VAT_REFUND_LAG,0,INDEX($C$17:$DS$17,1,R7-VAT_REFUND_LAG+1))</f>
        <v>0</v>
      </c>
      <c r="S18" s="42" cm="1">
        <f t="array" ref="S18">IF(S7&lt;VAT_REFUND_LAG,0,INDEX($C$17:$DS$17,1,S7-VAT_REFUND_LAG+1))</f>
        <v>0</v>
      </c>
      <c r="T18" s="42" cm="1">
        <f t="array" ref="T18">IF(T7&lt;VAT_REFUND_LAG,0,INDEX($C$17:$DS$17,1,T7-VAT_REFUND_LAG+1))</f>
        <v>0</v>
      </c>
      <c r="U18" s="42" cm="1">
        <f t="array" ref="U18">IF(U7&lt;VAT_REFUND_LAG,0,INDEX($C$17:$DS$17,1,U7-VAT_REFUND_LAG+1))</f>
        <v>0</v>
      </c>
      <c r="V18" s="42" cm="1">
        <f t="array" ref="V18">IF(V7&lt;VAT_REFUND_LAG,0,INDEX($C$17:$DS$17,1,V7-VAT_REFUND_LAG+1))</f>
        <v>0</v>
      </c>
      <c r="W18" s="42" cm="1">
        <f t="array" ref="W18">IF(W7&lt;VAT_REFUND_LAG,0,INDEX($C$17:$DS$17,1,W7-VAT_REFUND_LAG+1))</f>
        <v>0</v>
      </c>
      <c r="X18" s="42" cm="1">
        <f t="array" ref="X18">IF(X7&lt;VAT_REFUND_LAG,0,INDEX($C$17:$DS$17,1,X7-VAT_REFUND_LAG+1))</f>
        <v>0</v>
      </c>
      <c r="Y18" s="42" cm="1">
        <f t="array" ref="Y18">IF(Y7&lt;VAT_REFUND_LAG,0,INDEX($C$17:$DS$17,1,Y7-VAT_REFUND_LAG+1))</f>
        <v>0</v>
      </c>
      <c r="Z18" s="42" cm="1">
        <f t="array" ref="Z18">IF(Z7&lt;VAT_REFUND_LAG,0,INDEX($C$17:$DS$17,1,Z7-VAT_REFUND_LAG+1))</f>
        <v>0</v>
      </c>
      <c r="AA18" s="42" cm="1">
        <f t="array" ref="AA18">IF(AA7&lt;VAT_REFUND_LAG,0,INDEX($C$17:$DS$17,1,AA7-VAT_REFUND_LAG+1))</f>
        <v>0</v>
      </c>
      <c r="AB18" s="42" cm="1">
        <f t="array" ref="AB18">IF(AB7&lt;VAT_REFUND_LAG,0,INDEX($C$17:$DS$17,1,AB7-VAT_REFUND_LAG+1))</f>
        <v>0</v>
      </c>
      <c r="AC18" s="42" cm="1">
        <f t="array" ref="AC18">IF(AC7&lt;VAT_REFUND_LAG,0,INDEX($C$17:$DS$17,1,AC7-VAT_REFUND_LAG+1))</f>
        <v>0</v>
      </c>
      <c r="AD18" s="42" cm="1">
        <f t="array" ref="AD18">IF(AD7&lt;VAT_REFUND_LAG,0,INDEX($C$17:$DS$17,1,AD7-VAT_REFUND_LAG+1))</f>
        <v>0</v>
      </c>
      <c r="AE18" s="42" cm="1">
        <f t="array" ref="AE18">IF(AE7&lt;VAT_REFUND_LAG,0,INDEX($C$17:$DS$17,1,AE7-VAT_REFUND_LAG+1))</f>
        <v>0</v>
      </c>
      <c r="AF18" s="42" cm="1">
        <f t="array" ref="AF18">IF(AF7&lt;VAT_REFUND_LAG,0,INDEX($C$17:$DS$17,1,AF7-VAT_REFUND_LAG+1))</f>
        <v>0</v>
      </c>
      <c r="AG18" s="42" cm="1">
        <f t="array" ref="AG18">IF(AG7&lt;VAT_REFUND_LAG,0,INDEX($C$17:$DS$17,1,AG7-VAT_REFUND_LAG+1))</f>
        <v>0</v>
      </c>
      <c r="AH18" s="42" cm="1">
        <f t="array" ref="AH18">IF(AH7&lt;VAT_REFUND_LAG,0,INDEX($C$17:$DS$17,1,AH7-VAT_REFUND_LAG+1))</f>
        <v>0</v>
      </c>
      <c r="AI18" s="42" cm="1">
        <f t="array" ref="AI18">IF(AI7&lt;VAT_REFUND_LAG,0,INDEX($C$17:$DS$17,1,AI7-VAT_REFUND_LAG+1))</f>
        <v>0</v>
      </c>
      <c r="AJ18" s="42" cm="1">
        <f t="array" ref="AJ18">IF(AJ7&lt;VAT_REFUND_LAG,0,INDEX($C$17:$DS$17,1,AJ7-VAT_REFUND_LAG+1))</f>
        <v>0</v>
      </c>
      <c r="AK18" s="42" cm="1">
        <f t="array" ref="AK18">IF(AK7&lt;VAT_REFUND_LAG,0,INDEX($C$17:$DS$17,1,AK7-VAT_REFUND_LAG+1))</f>
        <v>0</v>
      </c>
      <c r="AL18" s="42" cm="1">
        <f t="array" ref="AL18">IF(AL7&lt;VAT_REFUND_LAG,0,INDEX($C$17:$DS$17,1,AL7-VAT_REFUND_LAG+1))</f>
        <v>0</v>
      </c>
      <c r="AM18" s="42" cm="1">
        <f t="array" ref="AM18">IF(AM7&lt;VAT_REFUND_LAG,0,INDEX($C$17:$DS$17,1,AM7-VAT_REFUND_LAG+1))</f>
        <v>0</v>
      </c>
      <c r="AN18" s="42" cm="1">
        <f t="array" ref="AN18">IF(AN7&lt;VAT_REFUND_LAG,0,INDEX($C$17:$DS$17,1,AN7-VAT_REFUND_LAG+1))</f>
        <v>0</v>
      </c>
      <c r="AO18" s="42" cm="1">
        <f t="array" ref="AO18">IF(AO7&lt;VAT_REFUND_LAG,0,INDEX($C$17:$DS$17,1,AO7-VAT_REFUND_LAG+1))</f>
        <v>0</v>
      </c>
      <c r="AP18" s="42" cm="1">
        <f t="array" ref="AP18">IF(AP7&lt;VAT_REFUND_LAG,0,INDEX($C$17:$DS$17,1,AP7-VAT_REFUND_LAG+1))</f>
        <v>0</v>
      </c>
      <c r="AQ18" s="42" cm="1">
        <f t="array" ref="AQ18">IF(AQ7&lt;VAT_REFUND_LAG,0,INDEX($C$17:$DS$17,1,AQ7-VAT_REFUND_LAG+1))</f>
        <v>0</v>
      </c>
      <c r="AR18" s="42" cm="1">
        <f t="array" ref="AR18">IF(AR7&lt;VAT_REFUND_LAG,0,INDEX($C$17:$DS$17,1,AR7-VAT_REFUND_LAG+1))</f>
        <v>0</v>
      </c>
      <c r="AS18" s="42" cm="1">
        <f t="array" ref="AS18">IF(AS7&lt;VAT_REFUND_LAG,0,INDEX($C$17:$DS$17,1,AS7-VAT_REFUND_LAG+1))</f>
        <v>0</v>
      </c>
      <c r="AT18" s="42" cm="1">
        <f t="array" ref="AT18">IF(AT7&lt;VAT_REFUND_LAG,0,INDEX($C$17:$DS$17,1,AT7-VAT_REFUND_LAG+1))</f>
        <v>0</v>
      </c>
      <c r="AU18" s="42" cm="1">
        <f t="array" ref="AU18">IF(AU7&lt;VAT_REFUND_LAG,0,INDEX($C$17:$DS$17,1,AU7-VAT_REFUND_LAG+1))</f>
        <v>0</v>
      </c>
      <c r="AV18" s="42" cm="1">
        <f t="array" ref="AV18">IF(AV7&lt;VAT_REFUND_LAG,0,INDEX($C$17:$DS$17,1,AV7-VAT_REFUND_LAG+1))</f>
        <v>0</v>
      </c>
      <c r="AW18" s="42" cm="1">
        <f t="array" ref="AW18">IF(AW7&lt;VAT_REFUND_LAG,0,INDEX($C$17:$DS$17,1,AW7-VAT_REFUND_LAG+1))</f>
        <v>0</v>
      </c>
      <c r="AX18" s="42" cm="1">
        <f t="array" ref="AX18">IF(AX7&lt;VAT_REFUND_LAG,0,INDEX($C$17:$DS$17,1,AX7-VAT_REFUND_LAG+1))</f>
        <v>0</v>
      </c>
      <c r="AY18" s="42" cm="1">
        <f t="array" ref="AY18">IF(AY7&lt;VAT_REFUND_LAG,0,INDEX($C$17:$DS$17,1,AY7-VAT_REFUND_LAG+1))</f>
        <v>0</v>
      </c>
      <c r="AZ18" s="42" cm="1">
        <f t="array" ref="AZ18">IF(AZ7&lt;VAT_REFUND_LAG,0,INDEX($C$17:$DS$17,1,AZ7-VAT_REFUND_LAG+1))</f>
        <v>0</v>
      </c>
      <c r="BA18" s="42" cm="1">
        <f t="array" ref="BA18">IF(BA7&lt;VAT_REFUND_LAG,0,INDEX($C$17:$DS$17,1,BA7-VAT_REFUND_LAG+1))</f>
        <v>0</v>
      </c>
      <c r="BB18" s="42" cm="1">
        <f t="array" ref="BB18">IF(BB7&lt;VAT_REFUND_LAG,0,INDEX($C$17:$DS$17,1,BB7-VAT_REFUND_LAG+1))</f>
        <v>0</v>
      </c>
      <c r="BC18" s="42" cm="1">
        <f t="array" ref="BC18">IF(BC7&lt;VAT_REFUND_LAG,0,INDEX($C$17:$DS$17,1,BC7-VAT_REFUND_LAG+1))</f>
        <v>0</v>
      </c>
      <c r="BD18" s="42" cm="1">
        <f t="array" ref="BD18">IF(BD7&lt;VAT_REFUND_LAG,0,INDEX($C$17:$DS$17,1,BD7-VAT_REFUND_LAG+1))</f>
        <v>0</v>
      </c>
      <c r="BE18" s="42" cm="1">
        <f t="array" ref="BE18">IF(BE7&lt;VAT_REFUND_LAG,0,INDEX($C$17:$DS$17,1,BE7-VAT_REFUND_LAG+1))</f>
        <v>0</v>
      </c>
      <c r="BF18" s="42" cm="1">
        <f t="array" ref="BF18">IF(BF7&lt;VAT_REFUND_LAG,0,INDEX($C$17:$DS$17,1,BF7-VAT_REFUND_LAG+1))</f>
        <v>0</v>
      </c>
      <c r="BG18" s="42" cm="1">
        <f t="array" ref="BG18">IF(BG7&lt;VAT_REFUND_LAG,0,INDEX($C$17:$DS$17,1,BG7-VAT_REFUND_LAG+1))</f>
        <v>0</v>
      </c>
      <c r="BH18" s="42" cm="1">
        <f t="array" ref="BH18">IF(BH7&lt;VAT_REFUND_LAG,0,INDEX($C$17:$DS$17,1,BH7-VAT_REFUND_LAG+1))</f>
        <v>0</v>
      </c>
      <c r="BI18" s="42" cm="1">
        <f t="array" ref="BI18">IF(BI7&lt;VAT_REFUND_LAG,0,INDEX($C$17:$DS$17,1,BI7-VAT_REFUND_LAG+1))</f>
        <v>0</v>
      </c>
      <c r="BJ18" s="42" cm="1">
        <f t="array" ref="BJ18">IF(BJ7&lt;VAT_REFUND_LAG,0,INDEX($C$17:$DS$17,1,BJ7-VAT_REFUND_LAG+1))</f>
        <v>0</v>
      </c>
      <c r="BK18" s="42" cm="1">
        <f t="array" ref="BK18">IF(BK7&lt;VAT_REFUND_LAG,0,INDEX($C$17:$DS$17,1,BK7-VAT_REFUND_LAG+1))</f>
        <v>0</v>
      </c>
      <c r="BL18" s="42" cm="1">
        <f t="array" ref="BL18">IF(BL7&lt;VAT_REFUND_LAG,0,INDEX($C$17:$DS$17,1,BL7-VAT_REFUND_LAG+1))</f>
        <v>0</v>
      </c>
      <c r="BM18" s="42" cm="1">
        <f t="array" ref="BM18">IF(BM7&lt;VAT_REFUND_LAG,0,INDEX($C$17:$DS$17,1,BM7-VAT_REFUND_LAG+1))</f>
        <v>0</v>
      </c>
      <c r="BN18" s="42" cm="1">
        <f t="array" ref="BN18">IF(BN7&lt;VAT_REFUND_LAG,0,INDEX($C$17:$DS$17,1,BN7-VAT_REFUND_LAG+1))</f>
        <v>0</v>
      </c>
      <c r="BO18" s="42" cm="1">
        <f t="array" ref="BO18">IF(BO7&lt;VAT_REFUND_LAG,0,INDEX($C$17:$DS$17,1,BO7-VAT_REFUND_LAG+1))</f>
        <v>0</v>
      </c>
      <c r="BP18" s="42" cm="1">
        <f t="array" ref="BP18">IF(BP7&lt;VAT_REFUND_LAG,0,INDEX($C$17:$DS$17,1,BP7-VAT_REFUND_LAG+1))</f>
        <v>0</v>
      </c>
      <c r="BQ18" s="42" cm="1">
        <f t="array" ref="BQ18">IF(BQ7&lt;VAT_REFUND_LAG,0,INDEX($C$17:$DS$17,1,BQ7-VAT_REFUND_LAG+1))</f>
        <v>0</v>
      </c>
      <c r="BR18" s="42" cm="1">
        <f t="array" ref="BR18">IF(BR7&lt;VAT_REFUND_LAG,0,INDEX($C$17:$DS$17,1,BR7-VAT_REFUND_LAG+1))</f>
        <v>0</v>
      </c>
      <c r="BS18" s="42" cm="1">
        <f t="array" ref="BS18">IF(BS7&lt;VAT_REFUND_LAG,0,INDEX($C$17:$DS$17,1,BS7-VAT_REFUND_LAG+1))</f>
        <v>0</v>
      </c>
      <c r="BT18" s="42" cm="1">
        <f t="array" ref="BT18">IF(BT7&lt;VAT_REFUND_LAG,0,INDEX($C$17:$DS$17,1,BT7-VAT_REFUND_LAG+1))</f>
        <v>0</v>
      </c>
      <c r="BU18" s="42" cm="1">
        <f t="array" ref="BU18">IF(BU7&lt;VAT_REFUND_LAG,0,INDEX($C$17:$DS$17,1,BU7-VAT_REFUND_LAG+1))</f>
        <v>0</v>
      </c>
      <c r="BV18" s="42" cm="1">
        <f t="array" ref="BV18">IF(BV7&lt;VAT_REFUND_LAG,0,INDEX($C$17:$DS$17,1,BV7-VAT_REFUND_LAG+1))</f>
        <v>0</v>
      </c>
      <c r="BW18" s="42" cm="1">
        <f t="array" ref="BW18">IF(BW7&lt;VAT_REFUND_LAG,0,INDEX($C$17:$DS$17,1,BW7-VAT_REFUND_LAG+1))</f>
        <v>0</v>
      </c>
      <c r="BX18" s="42" cm="1">
        <f t="array" ref="BX18">IF(BX7&lt;VAT_REFUND_LAG,0,INDEX($C$17:$DS$17,1,BX7-VAT_REFUND_LAG+1))</f>
        <v>0</v>
      </c>
      <c r="BY18" s="42" cm="1">
        <f t="array" ref="BY18">IF(BY7&lt;VAT_REFUND_LAG,0,INDEX($C$17:$DS$17,1,BY7-VAT_REFUND_LAG+1))</f>
        <v>0</v>
      </c>
      <c r="BZ18" s="42" cm="1">
        <f t="array" ref="BZ18">IF(BZ7&lt;VAT_REFUND_LAG,0,INDEX($C$17:$DS$17,1,BZ7-VAT_REFUND_LAG+1))</f>
        <v>0</v>
      </c>
      <c r="CA18" s="42" cm="1">
        <f t="array" ref="CA18">IF(CA7&lt;VAT_REFUND_LAG,0,INDEX($C$17:$DS$17,1,CA7-VAT_REFUND_LAG+1))</f>
        <v>0</v>
      </c>
      <c r="CB18" s="42" cm="1">
        <f t="array" ref="CB18">IF(CB7&lt;VAT_REFUND_LAG,0,INDEX($C$17:$DS$17,1,CB7-VAT_REFUND_LAG+1))</f>
        <v>0</v>
      </c>
      <c r="CC18" s="42" cm="1">
        <f t="array" ref="CC18">IF(CC7&lt;VAT_REFUND_LAG,0,INDEX($C$17:$DS$17,1,CC7-VAT_REFUND_LAG+1))</f>
        <v>0</v>
      </c>
      <c r="CD18" s="42" cm="1">
        <f t="array" ref="CD18">IF(CD7&lt;VAT_REFUND_LAG,0,INDEX($C$17:$DS$17,1,CD7-VAT_REFUND_LAG+1))</f>
        <v>0</v>
      </c>
      <c r="CE18" s="42" cm="1">
        <f t="array" ref="CE18">IF(CE7&lt;VAT_REFUND_LAG,0,INDEX($C$17:$DS$17,1,CE7-VAT_REFUND_LAG+1))</f>
        <v>0</v>
      </c>
      <c r="CF18" s="42" cm="1">
        <f t="array" ref="CF18">IF(CF7&lt;VAT_REFUND_LAG,0,INDEX($C$17:$DS$17,1,CF7-VAT_REFUND_LAG+1))</f>
        <v>0</v>
      </c>
      <c r="CG18" s="42" cm="1">
        <f t="array" ref="CG18">IF(CG7&lt;VAT_REFUND_LAG,0,INDEX($C$17:$DS$17,1,CG7-VAT_REFUND_LAG+1))</f>
        <v>0</v>
      </c>
      <c r="CH18" s="42" cm="1">
        <f t="array" ref="CH18">IF(CH7&lt;VAT_REFUND_LAG,0,INDEX($C$17:$DS$17,1,CH7-VAT_REFUND_LAG+1))</f>
        <v>0</v>
      </c>
      <c r="CI18" s="42" cm="1">
        <f t="array" ref="CI18">IF(CI7&lt;VAT_REFUND_LAG,0,INDEX($C$17:$DS$17,1,CI7-VAT_REFUND_LAG+1))</f>
        <v>0</v>
      </c>
      <c r="CJ18" s="42" cm="1">
        <f t="array" ref="CJ18">IF(CJ7&lt;VAT_REFUND_LAG,0,INDEX($C$17:$DS$17,1,CJ7-VAT_REFUND_LAG+1))</f>
        <v>0</v>
      </c>
      <c r="CK18" s="42" cm="1">
        <f t="array" ref="CK18">IF(CK7&lt;VAT_REFUND_LAG,0,INDEX($C$17:$DS$17,1,CK7-VAT_REFUND_LAG+1))</f>
        <v>0</v>
      </c>
      <c r="CL18" s="42" cm="1">
        <f t="array" ref="CL18">IF(CL7&lt;VAT_REFUND_LAG,0,INDEX($C$17:$DS$17,1,CL7-VAT_REFUND_LAG+1))</f>
        <v>0</v>
      </c>
      <c r="CM18" s="42" cm="1">
        <f t="array" ref="CM18">IF(CM7&lt;VAT_REFUND_LAG,0,INDEX($C$17:$DS$17,1,CM7-VAT_REFUND_LAG+1))</f>
        <v>0</v>
      </c>
      <c r="CN18" s="42" cm="1">
        <f t="array" ref="CN18">IF(CN7&lt;VAT_REFUND_LAG,0,INDEX($C$17:$DS$17,1,CN7-VAT_REFUND_LAG+1))</f>
        <v>0</v>
      </c>
      <c r="CO18" s="42" cm="1">
        <f t="array" ref="CO18">IF(CO7&lt;VAT_REFUND_LAG,0,INDEX($C$17:$DS$17,1,CO7-VAT_REFUND_LAG+1))</f>
        <v>0</v>
      </c>
      <c r="CP18" s="42" cm="1">
        <f t="array" ref="CP18">IF(CP7&lt;VAT_REFUND_LAG,0,INDEX($C$17:$DS$17,1,CP7-VAT_REFUND_LAG+1))</f>
        <v>0</v>
      </c>
      <c r="CQ18" s="42" cm="1">
        <f t="array" ref="CQ18">IF(CQ7&lt;VAT_REFUND_LAG,0,INDEX($C$17:$DS$17,1,CQ7-VAT_REFUND_LAG+1))</f>
        <v>0</v>
      </c>
      <c r="CR18" s="42" cm="1">
        <f t="array" ref="CR18">IF(CR7&lt;VAT_REFUND_LAG,0,INDEX($C$17:$DS$17,1,CR7-VAT_REFUND_LAG+1))</f>
        <v>0</v>
      </c>
      <c r="CS18" s="42" cm="1">
        <f t="array" ref="CS18">IF(CS7&lt;VAT_REFUND_LAG,0,INDEX($C$17:$DS$17,1,CS7-VAT_REFUND_LAG+1))</f>
        <v>0</v>
      </c>
      <c r="CT18" s="42" cm="1">
        <f t="array" ref="CT18">IF(CT7&lt;VAT_REFUND_LAG,0,INDEX($C$17:$DS$17,1,CT7-VAT_REFUND_LAG+1))</f>
        <v>0</v>
      </c>
      <c r="CU18" s="42" cm="1">
        <f t="array" ref="CU18">IF(CU7&lt;VAT_REFUND_LAG,0,INDEX($C$17:$DS$17,1,CU7-VAT_REFUND_LAG+1))</f>
        <v>0</v>
      </c>
      <c r="CV18" s="42" cm="1">
        <f t="array" ref="CV18">IF(CV7&lt;VAT_REFUND_LAG,0,INDEX($C$17:$DS$17,1,CV7-VAT_REFUND_LAG+1))</f>
        <v>0</v>
      </c>
      <c r="CW18" s="42" cm="1">
        <f t="array" ref="CW18">IF(CW7&lt;VAT_REFUND_LAG,0,INDEX($C$17:$DS$17,1,CW7-VAT_REFUND_LAG+1))</f>
        <v>0</v>
      </c>
      <c r="CX18" s="42" cm="1">
        <f t="array" ref="CX18">IF(CX7&lt;VAT_REFUND_LAG,0,INDEX($C$17:$DS$17,1,CX7-VAT_REFUND_LAG+1))</f>
        <v>0</v>
      </c>
      <c r="CY18" s="42" cm="1">
        <f t="array" ref="CY18">IF(CY7&lt;VAT_REFUND_LAG,0,INDEX($C$17:$DS$17,1,CY7-VAT_REFUND_LAG+1))</f>
        <v>0</v>
      </c>
      <c r="CZ18" s="42" cm="1">
        <f t="array" ref="CZ18">IF(CZ7&lt;VAT_REFUND_LAG,0,INDEX($C$17:$DS$17,1,CZ7-VAT_REFUND_LAG+1))</f>
        <v>0</v>
      </c>
      <c r="DA18" s="42" cm="1">
        <f t="array" ref="DA18">IF(DA7&lt;VAT_REFUND_LAG,0,INDEX($C$17:$DS$17,1,DA7-VAT_REFUND_LAG+1))</f>
        <v>0</v>
      </c>
      <c r="DB18" s="42" cm="1">
        <f t="array" ref="DB18">IF(DB7&lt;VAT_REFUND_LAG,0,INDEX($C$17:$DS$17,1,DB7-VAT_REFUND_LAG+1))</f>
        <v>0</v>
      </c>
      <c r="DC18" s="42" cm="1">
        <f t="array" ref="DC18">IF(DC7&lt;VAT_REFUND_LAG,0,INDEX($C$17:$DS$17,1,DC7-VAT_REFUND_LAG+1))</f>
        <v>0</v>
      </c>
      <c r="DD18" s="42" cm="1">
        <f t="array" ref="DD18">IF(DD7&lt;VAT_REFUND_LAG,0,INDEX($C$17:$DS$17,1,DD7-VAT_REFUND_LAG+1))</f>
        <v>0</v>
      </c>
      <c r="DE18" s="42" cm="1">
        <f t="array" ref="DE18">IF(DE7&lt;VAT_REFUND_LAG,0,INDEX($C$17:$DS$17,1,DE7-VAT_REFUND_LAG+1))</f>
        <v>0</v>
      </c>
      <c r="DF18" s="42" cm="1">
        <f t="array" ref="DF18">IF(DF7&lt;VAT_REFUND_LAG,0,INDEX($C$17:$DS$17,1,DF7-VAT_REFUND_LAG+1))</f>
        <v>0</v>
      </c>
      <c r="DG18" s="42" cm="1">
        <f t="array" ref="DG18">IF(DG7&lt;VAT_REFUND_LAG,0,INDEX($C$17:$DS$17,1,DG7-VAT_REFUND_LAG+1))</f>
        <v>0</v>
      </c>
      <c r="DH18" s="42" cm="1">
        <f t="array" ref="DH18">IF(DH7&lt;VAT_REFUND_LAG,0,INDEX($C$17:$DS$17,1,DH7-VAT_REFUND_LAG+1))</f>
        <v>0</v>
      </c>
      <c r="DI18" s="42" cm="1">
        <f t="array" ref="DI18">IF(DI7&lt;VAT_REFUND_LAG,0,INDEX($C$17:$DS$17,1,DI7-VAT_REFUND_LAG+1))</f>
        <v>0</v>
      </c>
      <c r="DJ18" s="42" cm="1">
        <f t="array" ref="DJ18">IF(DJ7&lt;VAT_REFUND_LAG,0,INDEX($C$17:$DS$17,1,DJ7-VAT_REFUND_LAG+1))</f>
        <v>0</v>
      </c>
      <c r="DK18" s="42" cm="1">
        <f t="array" ref="DK18">IF(DK7&lt;VAT_REFUND_LAG,0,INDEX($C$17:$DS$17,1,DK7-VAT_REFUND_LAG+1))</f>
        <v>0</v>
      </c>
      <c r="DL18" s="42" cm="1">
        <f t="array" ref="DL18">IF(DL7&lt;VAT_REFUND_LAG,0,INDEX($C$17:$DS$17,1,DL7-VAT_REFUND_LAG+1))</f>
        <v>0</v>
      </c>
      <c r="DM18" s="42" cm="1">
        <f t="array" ref="DM18">IF(DM7&lt;VAT_REFUND_LAG,0,INDEX($C$17:$DS$17,1,DM7-VAT_REFUND_LAG+1))</f>
        <v>0</v>
      </c>
      <c r="DN18" s="42" cm="1">
        <f t="array" ref="DN18">IF(DN7&lt;VAT_REFUND_LAG,0,INDEX($C$17:$DS$17,1,DN7-VAT_REFUND_LAG+1))</f>
        <v>0</v>
      </c>
      <c r="DO18" s="42" cm="1">
        <f t="array" ref="DO18">IF(DO7&lt;VAT_REFUND_LAG,0,INDEX($C$17:$DS$17,1,DO7-VAT_REFUND_LAG+1))</f>
        <v>0</v>
      </c>
      <c r="DP18" s="42" cm="1">
        <f t="array" ref="DP18">IF(DP7&lt;VAT_REFUND_LAG,0,INDEX($C$17:$DS$17,1,DP7-VAT_REFUND_LAG+1))</f>
        <v>0</v>
      </c>
      <c r="DQ18" s="42" cm="1">
        <f t="array" ref="DQ18">IF(DQ7&lt;VAT_REFUND_LAG,0,INDEX($C$17:$DS$17,1,DQ7-VAT_REFUND_LAG+1))</f>
        <v>0</v>
      </c>
      <c r="DR18" s="42" cm="1">
        <f t="array" ref="DR18">IF(DR7&lt;VAT_REFUND_LAG,0,INDEX($C$17:$DS$17,1,DR7-VAT_REFUND_LAG+1))</f>
        <v>0</v>
      </c>
      <c r="DS18" s="42" cm="1">
        <f t="array" ref="DS18">IF(DS7&lt;VAT_REFUND_LAG,0,INDEX($C$17:$DS$17,1,DS7-VAT_REFUND_LAG+1))</f>
        <v>0</v>
      </c>
      <c r="DT18" s="58"/>
      <c r="DU18" s="58"/>
    </row>
    <row r="19" spans="1:125" ht="6" customHeight="1" x14ac:dyDescent="0.4">
      <c r="A19" s="55"/>
      <c r="B19" s="55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58"/>
      <c r="BM19" s="58"/>
      <c r="BN19" s="58"/>
      <c r="BO19" s="58"/>
      <c r="BP19" s="58"/>
      <c r="BQ19" s="58"/>
      <c r="BR19" s="58"/>
      <c r="BS19" s="58"/>
      <c r="BT19" s="58"/>
      <c r="BU19" s="58"/>
      <c r="BV19" s="58"/>
      <c r="BW19" s="58"/>
      <c r="BX19" s="58"/>
      <c r="BY19" s="58"/>
      <c r="BZ19" s="58"/>
      <c r="CA19" s="58"/>
      <c r="CB19" s="58"/>
      <c r="CC19" s="58"/>
      <c r="CD19" s="58"/>
      <c r="CE19" s="58"/>
      <c r="CF19" s="58"/>
      <c r="CG19" s="58"/>
      <c r="CH19" s="58"/>
      <c r="CI19" s="58"/>
      <c r="CJ19" s="58"/>
      <c r="CK19" s="58"/>
      <c r="CL19" s="58"/>
      <c r="CM19" s="58"/>
      <c r="CN19" s="58"/>
      <c r="CO19" s="58"/>
      <c r="CP19" s="58"/>
      <c r="CQ19" s="58"/>
      <c r="CR19" s="58"/>
      <c r="CS19" s="58"/>
      <c r="CT19" s="58"/>
      <c r="CU19" s="58"/>
      <c r="CV19" s="58"/>
      <c r="CW19" s="58"/>
      <c r="CX19" s="58"/>
      <c r="CY19" s="58"/>
      <c r="CZ19" s="58"/>
      <c r="DA19" s="58"/>
      <c r="DB19" s="58"/>
      <c r="DC19" s="58"/>
      <c r="DD19" s="58"/>
      <c r="DE19" s="58"/>
      <c r="DF19" s="58"/>
      <c r="DG19" s="58"/>
      <c r="DH19" s="58"/>
      <c r="DI19" s="58"/>
      <c r="DJ19" s="58"/>
      <c r="DK19" s="58"/>
      <c r="DL19" s="58"/>
      <c r="DM19" s="58"/>
      <c r="DN19" s="58"/>
      <c r="DO19" s="58"/>
      <c r="DP19" s="58"/>
      <c r="DQ19" s="58"/>
      <c r="DR19" s="58"/>
      <c r="DS19" s="58"/>
      <c r="DT19" s="58"/>
      <c r="DU19" s="58"/>
    </row>
    <row r="20" spans="1:125" ht="22.05" customHeight="1" x14ac:dyDescent="0.5">
      <c r="A20" s="55"/>
      <c r="B20" s="50" t="s">
        <v>132</v>
      </c>
      <c r="C20" s="49"/>
      <c r="D20" s="49"/>
      <c r="E20" s="49"/>
      <c r="F20" s="49"/>
      <c r="G20" s="49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8"/>
      <c r="BK20" s="58"/>
      <c r="BL20" s="58"/>
      <c r="BM20" s="58"/>
      <c r="BN20" s="58"/>
      <c r="BO20" s="58"/>
      <c r="BP20" s="58"/>
      <c r="BQ20" s="58"/>
      <c r="BR20" s="58"/>
      <c r="BS20" s="58"/>
      <c r="BT20" s="58"/>
      <c r="BU20" s="58"/>
      <c r="BV20" s="58"/>
      <c r="BW20" s="58"/>
      <c r="BX20" s="58"/>
      <c r="BY20" s="58"/>
      <c r="BZ20" s="58"/>
      <c r="CA20" s="58"/>
      <c r="CB20" s="58"/>
      <c r="CC20" s="58"/>
      <c r="CD20" s="58"/>
      <c r="CE20" s="58"/>
      <c r="CF20" s="58"/>
      <c r="CG20" s="58"/>
      <c r="CH20" s="58"/>
      <c r="CI20" s="58"/>
      <c r="CJ20" s="58"/>
      <c r="CK20" s="58"/>
      <c r="CL20" s="58"/>
      <c r="CM20" s="58"/>
      <c r="CN20" s="58"/>
      <c r="CO20" s="58"/>
      <c r="CP20" s="58"/>
      <c r="CQ20" s="58"/>
      <c r="CR20" s="58"/>
      <c r="CS20" s="58"/>
      <c r="CT20" s="58"/>
      <c r="CU20" s="58"/>
      <c r="CV20" s="58"/>
      <c r="CW20" s="58"/>
      <c r="CX20" s="58"/>
      <c r="CY20" s="58"/>
      <c r="CZ20" s="58"/>
      <c r="DA20" s="58"/>
      <c r="DB20" s="58"/>
      <c r="DC20" s="58"/>
      <c r="DD20" s="58"/>
      <c r="DE20" s="58"/>
      <c r="DF20" s="58"/>
      <c r="DG20" s="58"/>
      <c r="DH20" s="58"/>
      <c r="DI20" s="58"/>
      <c r="DJ20" s="58"/>
      <c r="DK20" s="58"/>
      <c r="DL20" s="58"/>
      <c r="DM20" s="58"/>
      <c r="DN20" s="58"/>
      <c r="DO20" s="58"/>
      <c r="DP20" s="58"/>
      <c r="DQ20" s="58"/>
      <c r="DR20" s="58"/>
      <c r="DS20" s="58"/>
      <c r="DT20" s="58"/>
      <c r="DU20" s="58"/>
    </row>
    <row r="21" spans="1:125" ht="15" customHeight="1" x14ac:dyDescent="0.4">
      <c r="A21" s="55"/>
      <c r="B21" s="41" t="s">
        <v>133</v>
      </c>
      <c r="C21" s="42">
        <f t="shared" ref="C21:AH21" si="16">IF(C7=TARGET_EXIT_MONTH,IF(PROJECT_TYPE=4,ANNUAL_GROSS_RENT*(1+ANNUAL_RENT_INFLATION)^(TARGET_EXIT_MONTH/12)*STABILISED_OCCUPANCY*(1-RENTAL_OPEX_PERCENT)/EXIT_CAP_RATE,SALE_PRICE*REVENUE_SCENARIO_MULT),0)</f>
        <v>0</v>
      </c>
      <c r="D21" s="42">
        <f t="shared" si="16"/>
        <v>0</v>
      </c>
      <c r="E21" s="42">
        <f t="shared" si="16"/>
        <v>0</v>
      </c>
      <c r="F21" s="42">
        <f t="shared" si="16"/>
        <v>0</v>
      </c>
      <c r="G21" s="42">
        <f t="shared" si="16"/>
        <v>0</v>
      </c>
      <c r="H21" s="42">
        <f t="shared" si="16"/>
        <v>0</v>
      </c>
      <c r="I21" s="42">
        <f t="shared" si="16"/>
        <v>0</v>
      </c>
      <c r="J21" s="42">
        <f t="shared" si="16"/>
        <v>0</v>
      </c>
      <c r="K21" s="42">
        <f t="shared" si="16"/>
        <v>0</v>
      </c>
      <c r="L21" s="42">
        <f t="shared" si="16"/>
        <v>0</v>
      </c>
      <c r="M21" s="42">
        <f t="shared" si="16"/>
        <v>0</v>
      </c>
      <c r="N21" s="42">
        <f t="shared" si="16"/>
        <v>0</v>
      </c>
      <c r="O21" s="42">
        <f t="shared" si="16"/>
        <v>0</v>
      </c>
      <c r="P21" s="42">
        <f t="shared" si="16"/>
        <v>0</v>
      </c>
      <c r="Q21" s="42">
        <f t="shared" si="16"/>
        <v>0</v>
      </c>
      <c r="R21" s="42">
        <f t="shared" si="16"/>
        <v>0</v>
      </c>
      <c r="S21" s="42">
        <f t="shared" si="16"/>
        <v>0</v>
      </c>
      <c r="T21" s="42">
        <f t="shared" si="16"/>
        <v>0</v>
      </c>
      <c r="U21" s="42">
        <f t="shared" si="16"/>
        <v>0</v>
      </c>
      <c r="V21" s="42">
        <f t="shared" si="16"/>
        <v>0</v>
      </c>
      <c r="W21" s="42">
        <f t="shared" si="16"/>
        <v>0</v>
      </c>
      <c r="X21" s="42">
        <f t="shared" si="16"/>
        <v>0</v>
      </c>
      <c r="Y21" s="42">
        <f t="shared" si="16"/>
        <v>0</v>
      </c>
      <c r="Z21" s="42">
        <f t="shared" si="16"/>
        <v>0</v>
      </c>
      <c r="AA21" s="42">
        <f t="shared" si="16"/>
        <v>0</v>
      </c>
      <c r="AB21" s="42">
        <f t="shared" si="16"/>
        <v>0</v>
      </c>
      <c r="AC21" s="42">
        <f t="shared" si="16"/>
        <v>0</v>
      </c>
      <c r="AD21" s="42">
        <f t="shared" si="16"/>
        <v>0</v>
      </c>
      <c r="AE21" s="42">
        <f t="shared" si="16"/>
        <v>0</v>
      </c>
      <c r="AF21" s="42">
        <f t="shared" si="16"/>
        <v>0</v>
      </c>
      <c r="AG21" s="42">
        <f t="shared" si="16"/>
        <v>0</v>
      </c>
      <c r="AH21" s="42">
        <f t="shared" si="16"/>
        <v>0</v>
      </c>
      <c r="AI21" s="42">
        <f t="shared" ref="AI21:BN21" si="17">IF(AI7=TARGET_EXIT_MONTH,IF(PROJECT_TYPE=4,ANNUAL_GROSS_RENT*(1+ANNUAL_RENT_INFLATION)^(TARGET_EXIT_MONTH/12)*STABILISED_OCCUPANCY*(1-RENTAL_OPEX_PERCENT)/EXIT_CAP_RATE,SALE_PRICE*REVENUE_SCENARIO_MULT),0)</f>
        <v>0</v>
      </c>
      <c r="AJ21" s="42">
        <f t="shared" si="17"/>
        <v>0</v>
      </c>
      <c r="AK21" s="42">
        <f t="shared" si="17"/>
        <v>0</v>
      </c>
      <c r="AL21" s="42">
        <f t="shared" si="17"/>
        <v>0</v>
      </c>
      <c r="AM21" s="42">
        <f t="shared" si="17"/>
        <v>2887779.4445454543</v>
      </c>
      <c r="AN21" s="42">
        <f t="shared" si="17"/>
        <v>0</v>
      </c>
      <c r="AO21" s="42">
        <f t="shared" si="17"/>
        <v>0</v>
      </c>
      <c r="AP21" s="42">
        <f t="shared" si="17"/>
        <v>0</v>
      </c>
      <c r="AQ21" s="42">
        <f t="shared" si="17"/>
        <v>0</v>
      </c>
      <c r="AR21" s="42">
        <f t="shared" si="17"/>
        <v>0</v>
      </c>
      <c r="AS21" s="42">
        <f t="shared" si="17"/>
        <v>0</v>
      </c>
      <c r="AT21" s="42">
        <f t="shared" si="17"/>
        <v>0</v>
      </c>
      <c r="AU21" s="42">
        <f t="shared" si="17"/>
        <v>0</v>
      </c>
      <c r="AV21" s="42">
        <f t="shared" si="17"/>
        <v>0</v>
      </c>
      <c r="AW21" s="42">
        <f t="shared" si="17"/>
        <v>0</v>
      </c>
      <c r="AX21" s="42">
        <f t="shared" si="17"/>
        <v>0</v>
      </c>
      <c r="AY21" s="42">
        <f t="shared" si="17"/>
        <v>0</v>
      </c>
      <c r="AZ21" s="42">
        <f t="shared" si="17"/>
        <v>0</v>
      </c>
      <c r="BA21" s="42">
        <f t="shared" si="17"/>
        <v>0</v>
      </c>
      <c r="BB21" s="42">
        <f t="shared" si="17"/>
        <v>0</v>
      </c>
      <c r="BC21" s="42">
        <f t="shared" si="17"/>
        <v>0</v>
      </c>
      <c r="BD21" s="42">
        <f t="shared" si="17"/>
        <v>0</v>
      </c>
      <c r="BE21" s="42">
        <f t="shared" si="17"/>
        <v>0</v>
      </c>
      <c r="BF21" s="42">
        <f t="shared" si="17"/>
        <v>0</v>
      </c>
      <c r="BG21" s="42">
        <f t="shared" si="17"/>
        <v>0</v>
      </c>
      <c r="BH21" s="42">
        <f t="shared" si="17"/>
        <v>0</v>
      </c>
      <c r="BI21" s="42">
        <f t="shared" si="17"/>
        <v>0</v>
      </c>
      <c r="BJ21" s="42">
        <f t="shared" si="17"/>
        <v>0</v>
      </c>
      <c r="BK21" s="42">
        <f t="shared" si="17"/>
        <v>0</v>
      </c>
      <c r="BL21" s="42">
        <f t="shared" si="17"/>
        <v>0</v>
      </c>
      <c r="BM21" s="42">
        <f t="shared" si="17"/>
        <v>0</v>
      </c>
      <c r="BN21" s="42">
        <f t="shared" si="17"/>
        <v>0</v>
      </c>
      <c r="BO21" s="42">
        <f t="shared" ref="BO21:CT21" si="18">IF(BO7=TARGET_EXIT_MONTH,IF(PROJECT_TYPE=4,ANNUAL_GROSS_RENT*(1+ANNUAL_RENT_INFLATION)^(TARGET_EXIT_MONTH/12)*STABILISED_OCCUPANCY*(1-RENTAL_OPEX_PERCENT)/EXIT_CAP_RATE,SALE_PRICE*REVENUE_SCENARIO_MULT),0)</f>
        <v>0</v>
      </c>
      <c r="BP21" s="42">
        <f t="shared" si="18"/>
        <v>0</v>
      </c>
      <c r="BQ21" s="42">
        <f t="shared" si="18"/>
        <v>0</v>
      </c>
      <c r="BR21" s="42">
        <f t="shared" si="18"/>
        <v>0</v>
      </c>
      <c r="BS21" s="42">
        <f t="shared" si="18"/>
        <v>0</v>
      </c>
      <c r="BT21" s="42">
        <f t="shared" si="18"/>
        <v>0</v>
      </c>
      <c r="BU21" s="42">
        <f t="shared" si="18"/>
        <v>0</v>
      </c>
      <c r="BV21" s="42">
        <f t="shared" si="18"/>
        <v>0</v>
      </c>
      <c r="BW21" s="42">
        <f t="shared" si="18"/>
        <v>0</v>
      </c>
      <c r="BX21" s="42">
        <f t="shared" si="18"/>
        <v>0</v>
      </c>
      <c r="BY21" s="42">
        <f t="shared" si="18"/>
        <v>0</v>
      </c>
      <c r="BZ21" s="42">
        <f t="shared" si="18"/>
        <v>0</v>
      </c>
      <c r="CA21" s="42">
        <f t="shared" si="18"/>
        <v>0</v>
      </c>
      <c r="CB21" s="42">
        <f t="shared" si="18"/>
        <v>0</v>
      </c>
      <c r="CC21" s="42">
        <f t="shared" si="18"/>
        <v>0</v>
      </c>
      <c r="CD21" s="42">
        <f t="shared" si="18"/>
        <v>0</v>
      </c>
      <c r="CE21" s="42">
        <f t="shared" si="18"/>
        <v>0</v>
      </c>
      <c r="CF21" s="42">
        <f t="shared" si="18"/>
        <v>0</v>
      </c>
      <c r="CG21" s="42">
        <f t="shared" si="18"/>
        <v>0</v>
      </c>
      <c r="CH21" s="42">
        <f t="shared" si="18"/>
        <v>0</v>
      </c>
      <c r="CI21" s="42">
        <f t="shared" si="18"/>
        <v>0</v>
      </c>
      <c r="CJ21" s="42">
        <f t="shared" si="18"/>
        <v>0</v>
      </c>
      <c r="CK21" s="42">
        <f t="shared" si="18"/>
        <v>0</v>
      </c>
      <c r="CL21" s="42">
        <f t="shared" si="18"/>
        <v>0</v>
      </c>
      <c r="CM21" s="42">
        <f t="shared" si="18"/>
        <v>0</v>
      </c>
      <c r="CN21" s="42">
        <f t="shared" si="18"/>
        <v>0</v>
      </c>
      <c r="CO21" s="42">
        <f t="shared" si="18"/>
        <v>0</v>
      </c>
      <c r="CP21" s="42">
        <f t="shared" si="18"/>
        <v>0</v>
      </c>
      <c r="CQ21" s="42">
        <f t="shared" si="18"/>
        <v>0</v>
      </c>
      <c r="CR21" s="42">
        <f t="shared" si="18"/>
        <v>0</v>
      </c>
      <c r="CS21" s="42">
        <f t="shared" si="18"/>
        <v>0</v>
      </c>
      <c r="CT21" s="42">
        <f t="shared" si="18"/>
        <v>0</v>
      </c>
      <c r="CU21" s="42">
        <f t="shared" ref="CU21:DS21" si="19">IF(CU7=TARGET_EXIT_MONTH,IF(PROJECT_TYPE=4,ANNUAL_GROSS_RENT*(1+ANNUAL_RENT_INFLATION)^(TARGET_EXIT_MONTH/12)*STABILISED_OCCUPANCY*(1-RENTAL_OPEX_PERCENT)/EXIT_CAP_RATE,SALE_PRICE*REVENUE_SCENARIO_MULT),0)</f>
        <v>0</v>
      </c>
      <c r="CV21" s="42">
        <f t="shared" si="19"/>
        <v>0</v>
      </c>
      <c r="CW21" s="42">
        <f t="shared" si="19"/>
        <v>0</v>
      </c>
      <c r="CX21" s="42">
        <f t="shared" si="19"/>
        <v>0</v>
      </c>
      <c r="CY21" s="42">
        <f t="shared" si="19"/>
        <v>0</v>
      </c>
      <c r="CZ21" s="42">
        <f t="shared" si="19"/>
        <v>0</v>
      </c>
      <c r="DA21" s="42">
        <f t="shared" si="19"/>
        <v>0</v>
      </c>
      <c r="DB21" s="42">
        <f t="shared" si="19"/>
        <v>0</v>
      </c>
      <c r="DC21" s="42">
        <f t="shared" si="19"/>
        <v>0</v>
      </c>
      <c r="DD21" s="42">
        <f t="shared" si="19"/>
        <v>0</v>
      </c>
      <c r="DE21" s="42">
        <f t="shared" si="19"/>
        <v>0</v>
      </c>
      <c r="DF21" s="42">
        <f t="shared" si="19"/>
        <v>0</v>
      </c>
      <c r="DG21" s="42">
        <f t="shared" si="19"/>
        <v>0</v>
      </c>
      <c r="DH21" s="42">
        <f t="shared" si="19"/>
        <v>0</v>
      </c>
      <c r="DI21" s="42">
        <f t="shared" si="19"/>
        <v>0</v>
      </c>
      <c r="DJ21" s="42">
        <f t="shared" si="19"/>
        <v>0</v>
      </c>
      <c r="DK21" s="42">
        <f t="shared" si="19"/>
        <v>0</v>
      </c>
      <c r="DL21" s="42">
        <f t="shared" si="19"/>
        <v>0</v>
      </c>
      <c r="DM21" s="42">
        <f t="shared" si="19"/>
        <v>0</v>
      </c>
      <c r="DN21" s="42">
        <f t="shared" si="19"/>
        <v>0</v>
      </c>
      <c r="DO21" s="42">
        <f t="shared" si="19"/>
        <v>0</v>
      </c>
      <c r="DP21" s="42">
        <f t="shared" si="19"/>
        <v>0</v>
      </c>
      <c r="DQ21" s="42">
        <f t="shared" si="19"/>
        <v>0</v>
      </c>
      <c r="DR21" s="42">
        <f t="shared" si="19"/>
        <v>0</v>
      </c>
      <c r="DS21" s="42">
        <f t="shared" si="19"/>
        <v>0</v>
      </c>
      <c r="DT21" s="58"/>
      <c r="DU21" s="58"/>
    </row>
    <row r="22" spans="1:125" ht="15" customHeight="1" x14ac:dyDescent="0.4">
      <c r="A22" s="55"/>
      <c r="B22" s="41" t="s">
        <v>134</v>
      </c>
      <c r="C22" s="42">
        <f t="shared" ref="C22:AH22" si="20">IF(PROJECT_TYPE&lt;&gt;4,0,IF(C7=0,0,IF(C7&gt;=TARGET_EXIT_MONTH,0,ANNUAL_GROSS_RENT/12*(1+ANNUAL_RENT_INFLATION)^(INT(C7/12))*STABILISED_OCCUPANCY*RENTAL_INCOME_MULT)))</f>
        <v>0</v>
      </c>
      <c r="D22" s="42">
        <f t="shared" si="20"/>
        <v>15675.000000000002</v>
      </c>
      <c r="E22" s="42">
        <f t="shared" si="20"/>
        <v>15675.000000000002</v>
      </c>
      <c r="F22" s="42">
        <f t="shared" si="20"/>
        <v>15675.000000000002</v>
      </c>
      <c r="G22" s="42">
        <f t="shared" si="20"/>
        <v>15675.000000000002</v>
      </c>
      <c r="H22" s="42">
        <f t="shared" si="20"/>
        <v>15675.000000000002</v>
      </c>
      <c r="I22" s="42">
        <f t="shared" si="20"/>
        <v>15675.000000000002</v>
      </c>
      <c r="J22" s="42">
        <f t="shared" si="20"/>
        <v>15675.000000000002</v>
      </c>
      <c r="K22" s="42">
        <f t="shared" si="20"/>
        <v>15675.000000000002</v>
      </c>
      <c r="L22" s="42">
        <f t="shared" si="20"/>
        <v>15675.000000000002</v>
      </c>
      <c r="M22" s="42">
        <f t="shared" si="20"/>
        <v>15675.000000000002</v>
      </c>
      <c r="N22" s="42">
        <f t="shared" si="20"/>
        <v>15675.000000000002</v>
      </c>
      <c r="O22" s="42">
        <f t="shared" si="20"/>
        <v>16145.250000000002</v>
      </c>
      <c r="P22" s="42">
        <f t="shared" si="20"/>
        <v>16145.250000000002</v>
      </c>
      <c r="Q22" s="42">
        <f t="shared" si="20"/>
        <v>16145.250000000002</v>
      </c>
      <c r="R22" s="42">
        <f t="shared" si="20"/>
        <v>16145.250000000002</v>
      </c>
      <c r="S22" s="42">
        <f t="shared" si="20"/>
        <v>16145.250000000002</v>
      </c>
      <c r="T22" s="42">
        <f t="shared" si="20"/>
        <v>16145.250000000002</v>
      </c>
      <c r="U22" s="42">
        <f t="shared" si="20"/>
        <v>16145.250000000002</v>
      </c>
      <c r="V22" s="42">
        <f t="shared" si="20"/>
        <v>16145.250000000002</v>
      </c>
      <c r="W22" s="42">
        <f t="shared" si="20"/>
        <v>16145.250000000002</v>
      </c>
      <c r="X22" s="42">
        <f t="shared" si="20"/>
        <v>16145.250000000002</v>
      </c>
      <c r="Y22" s="42">
        <f t="shared" si="20"/>
        <v>16145.250000000002</v>
      </c>
      <c r="Z22" s="42">
        <f t="shared" si="20"/>
        <v>16145.250000000002</v>
      </c>
      <c r="AA22" s="42">
        <f t="shared" si="20"/>
        <v>16629.607500000002</v>
      </c>
      <c r="AB22" s="42">
        <f t="shared" si="20"/>
        <v>16629.607500000002</v>
      </c>
      <c r="AC22" s="42">
        <f t="shared" si="20"/>
        <v>16629.607500000002</v>
      </c>
      <c r="AD22" s="42">
        <f t="shared" si="20"/>
        <v>16629.607500000002</v>
      </c>
      <c r="AE22" s="42">
        <f t="shared" si="20"/>
        <v>16629.607500000002</v>
      </c>
      <c r="AF22" s="42">
        <f t="shared" si="20"/>
        <v>16629.607500000002</v>
      </c>
      <c r="AG22" s="42">
        <f t="shared" si="20"/>
        <v>16629.607500000002</v>
      </c>
      <c r="AH22" s="42">
        <f t="shared" si="20"/>
        <v>16629.607500000002</v>
      </c>
      <c r="AI22" s="42">
        <f t="shared" ref="AI22:BN22" si="21">IF(PROJECT_TYPE&lt;&gt;4,0,IF(AI7=0,0,IF(AI7&gt;=TARGET_EXIT_MONTH,0,ANNUAL_GROSS_RENT/12*(1+ANNUAL_RENT_INFLATION)^(INT(AI7/12))*STABILISED_OCCUPANCY*RENTAL_INCOME_MULT)))</f>
        <v>16629.607500000002</v>
      </c>
      <c r="AJ22" s="42">
        <f t="shared" si="21"/>
        <v>16629.607500000002</v>
      </c>
      <c r="AK22" s="42">
        <f t="shared" si="21"/>
        <v>16629.607500000002</v>
      </c>
      <c r="AL22" s="42">
        <f t="shared" si="21"/>
        <v>16629.607500000002</v>
      </c>
      <c r="AM22" s="42">
        <f t="shared" si="21"/>
        <v>0</v>
      </c>
      <c r="AN22" s="42">
        <f t="shared" si="21"/>
        <v>0</v>
      </c>
      <c r="AO22" s="42">
        <f t="shared" si="21"/>
        <v>0</v>
      </c>
      <c r="AP22" s="42">
        <f t="shared" si="21"/>
        <v>0</v>
      </c>
      <c r="AQ22" s="42">
        <f t="shared" si="21"/>
        <v>0</v>
      </c>
      <c r="AR22" s="42">
        <f t="shared" si="21"/>
        <v>0</v>
      </c>
      <c r="AS22" s="42">
        <f t="shared" si="21"/>
        <v>0</v>
      </c>
      <c r="AT22" s="42">
        <f t="shared" si="21"/>
        <v>0</v>
      </c>
      <c r="AU22" s="42">
        <f t="shared" si="21"/>
        <v>0</v>
      </c>
      <c r="AV22" s="42">
        <f t="shared" si="21"/>
        <v>0</v>
      </c>
      <c r="AW22" s="42">
        <f t="shared" si="21"/>
        <v>0</v>
      </c>
      <c r="AX22" s="42">
        <f t="shared" si="21"/>
        <v>0</v>
      </c>
      <c r="AY22" s="42">
        <f t="shared" si="21"/>
        <v>0</v>
      </c>
      <c r="AZ22" s="42">
        <f t="shared" si="21"/>
        <v>0</v>
      </c>
      <c r="BA22" s="42">
        <f t="shared" si="21"/>
        <v>0</v>
      </c>
      <c r="BB22" s="42">
        <f t="shared" si="21"/>
        <v>0</v>
      </c>
      <c r="BC22" s="42">
        <f t="shared" si="21"/>
        <v>0</v>
      </c>
      <c r="BD22" s="42">
        <f t="shared" si="21"/>
        <v>0</v>
      </c>
      <c r="BE22" s="42">
        <f t="shared" si="21"/>
        <v>0</v>
      </c>
      <c r="BF22" s="42">
        <f t="shared" si="21"/>
        <v>0</v>
      </c>
      <c r="BG22" s="42">
        <f t="shared" si="21"/>
        <v>0</v>
      </c>
      <c r="BH22" s="42">
        <f t="shared" si="21"/>
        <v>0</v>
      </c>
      <c r="BI22" s="42">
        <f t="shared" si="21"/>
        <v>0</v>
      </c>
      <c r="BJ22" s="42">
        <f t="shared" si="21"/>
        <v>0</v>
      </c>
      <c r="BK22" s="42">
        <f t="shared" si="21"/>
        <v>0</v>
      </c>
      <c r="BL22" s="42">
        <f t="shared" si="21"/>
        <v>0</v>
      </c>
      <c r="BM22" s="42">
        <f t="shared" si="21"/>
        <v>0</v>
      </c>
      <c r="BN22" s="42">
        <f t="shared" si="21"/>
        <v>0</v>
      </c>
      <c r="BO22" s="42">
        <f t="shared" ref="BO22:CT22" si="22">IF(PROJECT_TYPE&lt;&gt;4,0,IF(BO7=0,0,IF(BO7&gt;=TARGET_EXIT_MONTH,0,ANNUAL_GROSS_RENT/12*(1+ANNUAL_RENT_INFLATION)^(INT(BO7/12))*STABILISED_OCCUPANCY*RENTAL_INCOME_MULT)))</f>
        <v>0</v>
      </c>
      <c r="BP22" s="42">
        <f t="shared" si="22"/>
        <v>0</v>
      </c>
      <c r="BQ22" s="42">
        <f t="shared" si="22"/>
        <v>0</v>
      </c>
      <c r="BR22" s="42">
        <f t="shared" si="22"/>
        <v>0</v>
      </c>
      <c r="BS22" s="42">
        <f t="shared" si="22"/>
        <v>0</v>
      </c>
      <c r="BT22" s="42">
        <f t="shared" si="22"/>
        <v>0</v>
      </c>
      <c r="BU22" s="42">
        <f t="shared" si="22"/>
        <v>0</v>
      </c>
      <c r="BV22" s="42">
        <f t="shared" si="22"/>
        <v>0</v>
      </c>
      <c r="BW22" s="42">
        <f t="shared" si="22"/>
        <v>0</v>
      </c>
      <c r="BX22" s="42">
        <f t="shared" si="22"/>
        <v>0</v>
      </c>
      <c r="BY22" s="42">
        <f t="shared" si="22"/>
        <v>0</v>
      </c>
      <c r="BZ22" s="42">
        <f t="shared" si="22"/>
        <v>0</v>
      </c>
      <c r="CA22" s="42">
        <f t="shared" si="22"/>
        <v>0</v>
      </c>
      <c r="CB22" s="42">
        <f t="shared" si="22"/>
        <v>0</v>
      </c>
      <c r="CC22" s="42">
        <f t="shared" si="22"/>
        <v>0</v>
      </c>
      <c r="CD22" s="42">
        <f t="shared" si="22"/>
        <v>0</v>
      </c>
      <c r="CE22" s="42">
        <f t="shared" si="22"/>
        <v>0</v>
      </c>
      <c r="CF22" s="42">
        <f t="shared" si="22"/>
        <v>0</v>
      </c>
      <c r="CG22" s="42">
        <f t="shared" si="22"/>
        <v>0</v>
      </c>
      <c r="CH22" s="42">
        <f t="shared" si="22"/>
        <v>0</v>
      </c>
      <c r="CI22" s="42">
        <f t="shared" si="22"/>
        <v>0</v>
      </c>
      <c r="CJ22" s="42">
        <f t="shared" si="22"/>
        <v>0</v>
      </c>
      <c r="CK22" s="42">
        <f t="shared" si="22"/>
        <v>0</v>
      </c>
      <c r="CL22" s="42">
        <f t="shared" si="22"/>
        <v>0</v>
      </c>
      <c r="CM22" s="42">
        <f t="shared" si="22"/>
        <v>0</v>
      </c>
      <c r="CN22" s="42">
        <f t="shared" si="22"/>
        <v>0</v>
      </c>
      <c r="CO22" s="42">
        <f t="shared" si="22"/>
        <v>0</v>
      </c>
      <c r="CP22" s="42">
        <f t="shared" si="22"/>
        <v>0</v>
      </c>
      <c r="CQ22" s="42">
        <f t="shared" si="22"/>
        <v>0</v>
      </c>
      <c r="CR22" s="42">
        <f t="shared" si="22"/>
        <v>0</v>
      </c>
      <c r="CS22" s="42">
        <f t="shared" si="22"/>
        <v>0</v>
      </c>
      <c r="CT22" s="42">
        <f t="shared" si="22"/>
        <v>0</v>
      </c>
      <c r="CU22" s="42">
        <f t="shared" ref="CU22:DS22" si="23">IF(PROJECT_TYPE&lt;&gt;4,0,IF(CU7=0,0,IF(CU7&gt;=TARGET_EXIT_MONTH,0,ANNUAL_GROSS_RENT/12*(1+ANNUAL_RENT_INFLATION)^(INT(CU7/12))*STABILISED_OCCUPANCY*RENTAL_INCOME_MULT)))</f>
        <v>0</v>
      </c>
      <c r="CV22" s="42">
        <f t="shared" si="23"/>
        <v>0</v>
      </c>
      <c r="CW22" s="42">
        <f t="shared" si="23"/>
        <v>0</v>
      </c>
      <c r="CX22" s="42">
        <f t="shared" si="23"/>
        <v>0</v>
      </c>
      <c r="CY22" s="42">
        <f t="shared" si="23"/>
        <v>0</v>
      </c>
      <c r="CZ22" s="42">
        <f t="shared" si="23"/>
        <v>0</v>
      </c>
      <c r="DA22" s="42">
        <f t="shared" si="23"/>
        <v>0</v>
      </c>
      <c r="DB22" s="42">
        <f t="shared" si="23"/>
        <v>0</v>
      </c>
      <c r="DC22" s="42">
        <f t="shared" si="23"/>
        <v>0</v>
      </c>
      <c r="DD22" s="42">
        <f t="shared" si="23"/>
        <v>0</v>
      </c>
      <c r="DE22" s="42">
        <f t="shared" si="23"/>
        <v>0</v>
      </c>
      <c r="DF22" s="42">
        <f t="shared" si="23"/>
        <v>0</v>
      </c>
      <c r="DG22" s="42">
        <f t="shared" si="23"/>
        <v>0</v>
      </c>
      <c r="DH22" s="42">
        <f t="shared" si="23"/>
        <v>0</v>
      </c>
      <c r="DI22" s="42">
        <f t="shared" si="23"/>
        <v>0</v>
      </c>
      <c r="DJ22" s="42">
        <f t="shared" si="23"/>
        <v>0</v>
      </c>
      <c r="DK22" s="42">
        <f t="shared" si="23"/>
        <v>0</v>
      </c>
      <c r="DL22" s="42">
        <f t="shared" si="23"/>
        <v>0</v>
      </c>
      <c r="DM22" s="42">
        <f t="shared" si="23"/>
        <v>0</v>
      </c>
      <c r="DN22" s="42">
        <f t="shared" si="23"/>
        <v>0</v>
      </c>
      <c r="DO22" s="42">
        <f t="shared" si="23"/>
        <v>0</v>
      </c>
      <c r="DP22" s="42">
        <f t="shared" si="23"/>
        <v>0</v>
      </c>
      <c r="DQ22" s="42">
        <f t="shared" si="23"/>
        <v>0</v>
      </c>
      <c r="DR22" s="42">
        <f t="shared" si="23"/>
        <v>0</v>
      </c>
      <c r="DS22" s="42">
        <f t="shared" si="23"/>
        <v>0</v>
      </c>
      <c r="DT22" s="58"/>
      <c r="DU22" s="58"/>
    </row>
    <row r="23" spans="1:125" ht="15" customHeight="1" x14ac:dyDescent="0.4">
      <c r="A23" s="55"/>
      <c r="B23" s="41" t="s">
        <v>135</v>
      </c>
      <c r="C23" s="42">
        <f t="shared" ref="C23:AH23" si="24">C22*RENTAL_OPEX_PERCENT</f>
        <v>0</v>
      </c>
      <c r="D23" s="42">
        <f t="shared" si="24"/>
        <v>2351.25</v>
      </c>
      <c r="E23" s="42">
        <f t="shared" si="24"/>
        <v>2351.25</v>
      </c>
      <c r="F23" s="42">
        <f t="shared" si="24"/>
        <v>2351.25</v>
      </c>
      <c r="G23" s="42">
        <f t="shared" si="24"/>
        <v>2351.25</v>
      </c>
      <c r="H23" s="42">
        <f t="shared" si="24"/>
        <v>2351.25</v>
      </c>
      <c r="I23" s="42">
        <f t="shared" si="24"/>
        <v>2351.25</v>
      </c>
      <c r="J23" s="42">
        <f t="shared" si="24"/>
        <v>2351.25</v>
      </c>
      <c r="K23" s="42">
        <f t="shared" si="24"/>
        <v>2351.25</v>
      </c>
      <c r="L23" s="42">
        <f t="shared" si="24"/>
        <v>2351.25</v>
      </c>
      <c r="M23" s="42">
        <f t="shared" si="24"/>
        <v>2351.25</v>
      </c>
      <c r="N23" s="42">
        <f t="shared" si="24"/>
        <v>2351.25</v>
      </c>
      <c r="O23" s="42">
        <f t="shared" si="24"/>
        <v>2421.7875000000004</v>
      </c>
      <c r="P23" s="42">
        <f t="shared" si="24"/>
        <v>2421.7875000000004</v>
      </c>
      <c r="Q23" s="42">
        <f t="shared" si="24"/>
        <v>2421.7875000000004</v>
      </c>
      <c r="R23" s="42">
        <f t="shared" si="24"/>
        <v>2421.7875000000004</v>
      </c>
      <c r="S23" s="42">
        <f t="shared" si="24"/>
        <v>2421.7875000000004</v>
      </c>
      <c r="T23" s="42">
        <f t="shared" si="24"/>
        <v>2421.7875000000004</v>
      </c>
      <c r="U23" s="42">
        <f t="shared" si="24"/>
        <v>2421.7875000000004</v>
      </c>
      <c r="V23" s="42">
        <f t="shared" si="24"/>
        <v>2421.7875000000004</v>
      </c>
      <c r="W23" s="42">
        <f t="shared" si="24"/>
        <v>2421.7875000000004</v>
      </c>
      <c r="X23" s="42">
        <f t="shared" si="24"/>
        <v>2421.7875000000004</v>
      </c>
      <c r="Y23" s="42">
        <f t="shared" si="24"/>
        <v>2421.7875000000004</v>
      </c>
      <c r="Z23" s="42">
        <f t="shared" si="24"/>
        <v>2421.7875000000004</v>
      </c>
      <c r="AA23" s="42">
        <f t="shared" si="24"/>
        <v>2494.4411250000003</v>
      </c>
      <c r="AB23" s="42">
        <f t="shared" si="24"/>
        <v>2494.4411250000003</v>
      </c>
      <c r="AC23" s="42">
        <f t="shared" si="24"/>
        <v>2494.4411250000003</v>
      </c>
      <c r="AD23" s="42">
        <f t="shared" si="24"/>
        <v>2494.4411250000003</v>
      </c>
      <c r="AE23" s="42">
        <f t="shared" si="24"/>
        <v>2494.4411250000003</v>
      </c>
      <c r="AF23" s="42">
        <f t="shared" si="24"/>
        <v>2494.4411250000003</v>
      </c>
      <c r="AG23" s="42">
        <f t="shared" si="24"/>
        <v>2494.4411250000003</v>
      </c>
      <c r="AH23" s="42">
        <f t="shared" si="24"/>
        <v>2494.4411250000003</v>
      </c>
      <c r="AI23" s="42">
        <f t="shared" ref="AI23:BN23" si="25">AI22*RENTAL_OPEX_PERCENT</f>
        <v>2494.4411250000003</v>
      </c>
      <c r="AJ23" s="42">
        <f t="shared" si="25"/>
        <v>2494.4411250000003</v>
      </c>
      <c r="AK23" s="42">
        <f t="shared" si="25"/>
        <v>2494.4411250000003</v>
      </c>
      <c r="AL23" s="42">
        <f t="shared" si="25"/>
        <v>2494.4411250000003</v>
      </c>
      <c r="AM23" s="42">
        <f t="shared" si="25"/>
        <v>0</v>
      </c>
      <c r="AN23" s="42">
        <f t="shared" si="25"/>
        <v>0</v>
      </c>
      <c r="AO23" s="42">
        <f t="shared" si="25"/>
        <v>0</v>
      </c>
      <c r="AP23" s="42">
        <f t="shared" si="25"/>
        <v>0</v>
      </c>
      <c r="AQ23" s="42">
        <f t="shared" si="25"/>
        <v>0</v>
      </c>
      <c r="AR23" s="42">
        <f t="shared" si="25"/>
        <v>0</v>
      </c>
      <c r="AS23" s="42">
        <f t="shared" si="25"/>
        <v>0</v>
      </c>
      <c r="AT23" s="42">
        <f t="shared" si="25"/>
        <v>0</v>
      </c>
      <c r="AU23" s="42">
        <f t="shared" si="25"/>
        <v>0</v>
      </c>
      <c r="AV23" s="42">
        <f t="shared" si="25"/>
        <v>0</v>
      </c>
      <c r="AW23" s="42">
        <f t="shared" si="25"/>
        <v>0</v>
      </c>
      <c r="AX23" s="42">
        <f t="shared" si="25"/>
        <v>0</v>
      </c>
      <c r="AY23" s="42">
        <f t="shared" si="25"/>
        <v>0</v>
      </c>
      <c r="AZ23" s="42">
        <f t="shared" si="25"/>
        <v>0</v>
      </c>
      <c r="BA23" s="42">
        <f t="shared" si="25"/>
        <v>0</v>
      </c>
      <c r="BB23" s="42">
        <f t="shared" si="25"/>
        <v>0</v>
      </c>
      <c r="BC23" s="42">
        <f t="shared" si="25"/>
        <v>0</v>
      </c>
      <c r="BD23" s="42">
        <f t="shared" si="25"/>
        <v>0</v>
      </c>
      <c r="BE23" s="42">
        <f t="shared" si="25"/>
        <v>0</v>
      </c>
      <c r="BF23" s="42">
        <f t="shared" si="25"/>
        <v>0</v>
      </c>
      <c r="BG23" s="42">
        <f t="shared" si="25"/>
        <v>0</v>
      </c>
      <c r="BH23" s="42">
        <f t="shared" si="25"/>
        <v>0</v>
      </c>
      <c r="BI23" s="42">
        <f t="shared" si="25"/>
        <v>0</v>
      </c>
      <c r="BJ23" s="42">
        <f t="shared" si="25"/>
        <v>0</v>
      </c>
      <c r="BK23" s="42">
        <f t="shared" si="25"/>
        <v>0</v>
      </c>
      <c r="BL23" s="42">
        <f t="shared" si="25"/>
        <v>0</v>
      </c>
      <c r="BM23" s="42">
        <f t="shared" si="25"/>
        <v>0</v>
      </c>
      <c r="BN23" s="42">
        <f t="shared" si="25"/>
        <v>0</v>
      </c>
      <c r="BO23" s="42">
        <f t="shared" ref="BO23:CT23" si="26">BO22*RENTAL_OPEX_PERCENT</f>
        <v>0</v>
      </c>
      <c r="BP23" s="42">
        <f t="shared" si="26"/>
        <v>0</v>
      </c>
      <c r="BQ23" s="42">
        <f t="shared" si="26"/>
        <v>0</v>
      </c>
      <c r="BR23" s="42">
        <f t="shared" si="26"/>
        <v>0</v>
      </c>
      <c r="BS23" s="42">
        <f t="shared" si="26"/>
        <v>0</v>
      </c>
      <c r="BT23" s="42">
        <f t="shared" si="26"/>
        <v>0</v>
      </c>
      <c r="BU23" s="42">
        <f t="shared" si="26"/>
        <v>0</v>
      </c>
      <c r="BV23" s="42">
        <f t="shared" si="26"/>
        <v>0</v>
      </c>
      <c r="BW23" s="42">
        <f t="shared" si="26"/>
        <v>0</v>
      </c>
      <c r="BX23" s="42">
        <f t="shared" si="26"/>
        <v>0</v>
      </c>
      <c r="BY23" s="42">
        <f t="shared" si="26"/>
        <v>0</v>
      </c>
      <c r="BZ23" s="42">
        <f t="shared" si="26"/>
        <v>0</v>
      </c>
      <c r="CA23" s="42">
        <f t="shared" si="26"/>
        <v>0</v>
      </c>
      <c r="CB23" s="42">
        <f t="shared" si="26"/>
        <v>0</v>
      </c>
      <c r="CC23" s="42">
        <f t="shared" si="26"/>
        <v>0</v>
      </c>
      <c r="CD23" s="42">
        <f t="shared" si="26"/>
        <v>0</v>
      </c>
      <c r="CE23" s="42">
        <f t="shared" si="26"/>
        <v>0</v>
      </c>
      <c r="CF23" s="42">
        <f t="shared" si="26"/>
        <v>0</v>
      </c>
      <c r="CG23" s="42">
        <f t="shared" si="26"/>
        <v>0</v>
      </c>
      <c r="CH23" s="42">
        <f t="shared" si="26"/>
        <v>0</v>
      </c>
      <c r="CI23" s="42">
        <f t="shared" si="26"/>
        <v>0</v>
      </c>
      <c r="CJ23" s="42">
        <f t="shared" si="26"/>
        <v>0</v>
      </c>
      <c r="CK23" s="42">
        <f t="shared" si="26"/>
        <v>0</v>
      </c>
      <c r="CL23" s="42">
        <f t="shared" si="26"/>
        <v>0</v>
      </c>
      <c r="CM23" s="42">
        <f t="shared" si="26"/>
        <v>0</v>
      </c>
      <c r="CN23" s="42">
        <f t="shared" si="26"/>
        <v>0</v>
      </c>
      <c r="CO23" s="42">
        <f t="shared" si="26"/>
        <v>0</v>
      </c>
      <c r="CP23" s="42">
        <f t="shared" si="26"/>
        <v>0</v>
      </c>
      <c r="CQ23" s="42">
        <f t="shared" si="26"/>
        <v>0</v>
      </c>
      <c r="CR23" s="42">
        <f t="shared" si="26"/>
        <v>0</v>
      </c>
      <c r="CS23" s="42">
        <f t="shared" si="26"/>
        <v>0</v>
      </c>
      <c r="CT23" s="42">
        <f t="shared" si="26"/>
        <v>0</v>
      </c>
      <c r="CU23" s="42">
        <f t="shared" ref="CU23:DS23" si="27">CU22*RENTAL_OPEX_PERCENT</f>
        <v>0</v>
      </c>
      <c r="CV23" s="42">
        <f t="shared" si="27"/>
        <v>0</v>
      </c>
      <c r="CW23" s="42">
        <f t="shared" si="27"/>
        <v>0</v>
      </c>
      <c r="CX23" s="42">
        <f t="shared" si="27"/>
        <v>0</v>
      </c>
      <c r="CY23" s="42">
        <f t="shared" si="27"/>
        <v>0</v>
      </c>
      <c r="CZ23" s="42">
        <f t="shared" si="27"/>
        <v>0</v>
      </c>
      <c r="DA23" s="42">
        <f t="shared" si="27"/>
        <v>0</v>
      </c>
      <c r="DB23" s="42">
        <f t="shared" si="27"/>
        <v>0</v>
      </c>
      <c r="DC23" s="42">
        <f t="shared" si="27"/>
        <v>0</v>
      </c>
      <c r="DD23" s="42">
        <f t="shared" si="27"/>
        <v>0</v>
      </c>
      <c r="DE23" s="42">
        <f t="shared" si="27"/>
        <v>0</v>
      </c>
      <c r="DF23" s="42">
        <f t="shared" si="27"/>
        <v>0</v>
      </c>
      <c r="DG23" s="42">
        <f t="shared" si="27"/>
        <v>0</v>
      </c>
      <c r="DH23" s="42">
        <f t="shared" si="27"/>
        <v>0</v>
      </c>
      <c r="DI23" s="42">
        <f t="shared" si="27"/>
        <v>0</v>
      </c>
      <c r="DJ23" s="42">
        <f t="shared" si="27"/>
        <v>0</v>
      </c>
      <c r="DK23" s="42">
        <f t="shared" si="27"/>
        <v>0</v>
      </c>
      <c r="DL23" s="42">
        <f t="shared" si="27"/>
        <v>0</v>
      </c>
      <c r="DM23" s="42">
        <f t="shared" si="27"/>
        <v>0</v>
      </c>
      <c r="DN23" s="42">
        <f t="shared" si="27"/>
        <v>0</v>
      </c>
      <c r="DO23" s="42">
        <f t="shared" si="27"/>
        <v>0</v>
      </c>
      <c r="DP23" s="42">
        <f t="shared" si="27"/>
        <v>0</v>
      </c>
      <c r="DQ23" s="42">
        <f t="shared" si="27"/>
        <v>0</v>
      </c>
      <c r="DR23" s="42">
        <f t="shared" si="27"/>
        <v>0</v>
      </c>
      <c r="DS23" s="42">
        <f t="shared" si="27"/>
        <v>0</v>
      </c>
      <c r="DT23" s="58"/>
      <c r="DU23" s="58"/>
    </row>
    <row r="24" spans="1:125" ht="15" customHeight="1" x14ac:dyDescent="0.4">
      <c r="A24" s="55"/>
      <c r="B24" s="39" t="s">
        <v>136</v>
      </c>
      <c r="C24" s="43">
        <f t="shared" ref="C24:AH24" si="28">C21+C22-C23</f>
        <v>0</v>
      </c>
      <c r="D24" s="43">
        <f t="shared" si="28"/>
        <v>13323.750000000002</v>
      </c>
      <c r="E24" s="43">
        <f t="shared" si="28"/>
        <v>13323.750000000002</v>
      </c>
      <c r="F24" s="43">
        <f t="shared" si="28"/>
        <v>13323.750000000002</v>
      </c>
      <c r="G24" s="43">
        <f t="shared" si="28"/>
        <v>13323.750000000002</v>
      </c>
      <c r="H24" s="43">
        <f t="shared" si="28"/>
        <v>13323.750000000002</v>
      </c>
      <c r="I24" s="43">
        <f t="shared" si="28"/>
        <v>13323.750000000002</v>
      </c>
      <c r="J24" s="43">
        <f t="shared" si="28"/>
        <v>13323.750000000002</v>
      </c>
      <c r="K24" s="43">
        <f t="shared" si="28"/>
        <v>13323.750000000002</v>
      </c>
      <c r="L24" s="43">
        <f t="shared" si="28"/>
        <v>13323.750000000002</v>
      </c>
      <c r="M24" s="43">
        <f t="shared" si="28"/>
        <v>13323.750000000002</v>
      </c>
      <c r="N24" s="43">
        <f t="shared" si="28"/>
        <v>13323.750000000002</v>
      </c>
      <c r="O24" s="43">
        <f t="shared" si="28"/>
        <v>13723.462500000001</v>
      </c>
      <c r="P24" s="43">
        <f t="shared" si="28"/>
        <v>13723.462500000001</v>
      </c>
      <c r="Q24" s="43">
        <f t="shared" si="28"/>
        <v>13723.462500000001</v>
      </c>
      <c r="R24" s="43">
        <f t="shared" si="28"/>
        <v>13723.462500000001</v>
      </c>
      <c r="S24" s="43">
        <f t="shared" si="28"/>
        <v>13723.462500000001</v>
      </c>
      <c r="T24" s="43">
        <f t="shared" si="28"/>
        <v>13723.462500000001</v>
      </c>
      <c r="U24" s="43">
        <f t="shared" si="28"/>
        <v>13723.462500000001</v>
      </c>
      <c r="V24" s="43">
        <f t="shared" si="28"/>
        <v>13723.462500000001</v>
      </c>
      <c r="W24" s="43">
        <f t="shared" si="28"/>
        <v>13723.462500000001</v>
      </c>
      <c r="X24" s="43">
        <f t="shared" si="28"/>
        <v>13723.462500000001</v>
      </c>
      <c r="Y24" s="43">
        <f t="shared" si="28"/>
        <v>13723.462500000001</v>
      </c>
      <c r="Z24" s="43">
        <f t="shared" si="28"/>
        <v>13723.462500000001</v>
      </c>
      <c r="AA24" s="43">
        <f t="shared" si="28"/>
        <v>14135.166375000001</v>
      </c>
      <c r="AB24" s="43">
        <f t="shared" si="28"/>
        <v>14135.166375000001</v>
      </c>
      <c r="AC24" s="43">
        <f t="shared" si="28"/>
        <v>14135.166375000001</v>
      </c>
      <c r="AD24" s="43">
        <f t="shared" si="28"/>
        <v>14135.166375000001</v>
      </c>
      <c r="AE24" s="43">
        <f t="shared" si="28"/>
        <v>14135.166375000001</v>
      </c>
      <c r="AF24" s="43">
        <f t="shared" si="28"/>
        <v>14135.166375000001</v>
      </c>
      <c r="AG24" s="43">
        <f t="shared" si="28"/>
        <v>14135.166375000001</v>
      </c>
      <c r="AH24" s="43">
        <f t="shared" si="28"/>
        <v>14135.166375000001</v>
      </c>
      <c r="AI24" s="43">
        <f t="shared" ref="AI24:BN24" si="29">AI21+AI22-AI23</f>
        <v>14135.166375000001</v>
      </c>
      <c r="AJ24" s="43">
        <f t="shared" si="29"/>
        <v>14135.166375000001</v>
      </c>
      <c r="AK24" s="43">
        <f t="shared" si="29"/>
        <v>14135.166375000001</v>
      </c>
      <c r="AL24" s="43">
        <f t="shared" si="29"/>
        <v>14135.166375000001</v>
      </c>
      <c r="AM24" s="43">
        <f t="shared" si="29"/>
        <v>2887779.4445454543</v>
      </c>
      <c r="AN24" s="43">
        <f t="shared" si="29"/>
        <v>0</v>
      </c>
      <c r="AO24" s="43">
        <f t="shared" si="29"/>
        <v>0</v>
      </c>
      <c r="AP24" s="43">
        <f t="shared" si="29"/>
        <v>0</v>
      </c>
      <c r="AQ24" s="43">
        <f t="shared" si="29"/>
        <v>0</v>
      </c>
      <c r="AR24" s="43">
        <f t="shared" si="29"/>
        <v>0</v>
      </c>
      <c r="AS24" s="43">
        <f t="shared" si="29"/>
        <v>0</v>
      </c>
      <c r="AT24" s="43">
        <f t="shared" si="29"/>
        <v>0</v>
      </c>
      <c r="AU24" s="43">
        <f t="shared" si="29"/>
        <v>0</v>
      </c>
      <c r="AV24" s="43">
        <f t="shared" si="29"/>
        <v>0</v>
      </c>
      <c r="AW24" s="43">
        <f t="shared" si="29"/>
        <v>0</v>
      </c>
      <c r="AX24" s="43">
        <f t="shared" si="29"/>
        <v>0</v>
      </c>
      <c r="AY24" s="43">
        <f t="shared" si="29"/>
        <v>0</v>
      </c>
      <c r="AZ24" s="43">
        <f t="shared" si="29"/>
        <v>0</v>
      </c>
      <c r="BA24" s="43">
        <f t="shared" si="29"/>
        <v>0</v>
      </c>
      <c r="BB24" s="43">
        <f t="shared" si="29"/>
        <v>0</v>
      </c>
      <c r="BC24" s="43">
        <f t="shared" si="29"/>
        <v>0</v>
      </c>
      <c r="BD24" s="43">
        <f t="shared" si="29"/>
        <v>0</v>
      </c>
      <c r="BE24" s="43">
        <f t="shared" si="29"/>
        <v>0</v>
      </c>
      <c r="BF24" s="43">
        <f t="shared" si="29"/>
        <v>0</v>
      </c>
      <c r="BG24" s="43">
        <f t="shared" si="29"/>
        <v>0</v>
      </c>
      <c r="BH24" s="43">
        <f t="shared" si="29"/>
        <v>0</v>
      </c>
      <c r="BI24" s="43">
        <f t="shared" si="29"/>
        <v>0</v>
      </c>
      <c r="BJ24" s="43">
        <f t="shared" si="29"/>
        <v>0</v>
      </c>
      <c r="BK24" s="43">
        <f t="shared" si="29"/>
        <v>0</v>
      </c>
      <c r="BL24" s="43">
        <f t="shared" si="29"/>
        <v>0</v>
      </c>
      <c r="BM24" s="43">
        <f t="shared" si="29"/>
        <v>0</v>
      </c>
      <c r="BN24" s="43">
        <f t="shared" si="29"/>
        <v>0</v>
      </c>
      <c r="BO24" s="43">
        <f t="shared" ref="BO24:CT24" si="30">BO21+BO22-BO23</f>
        <v>0</v>
      </c>
      <c r="BP24" s="43">
        <f t="shared" si="30"/>
        <v>0</v>
      </c>
      <c r="BQ24" s="43">
        <f t="shared" si="30"/>
        <v>0</v>
      </c>
      <c r="BR24" s="43">
        <f t="shared" si="30"/>
        <v>0</v>
      </c>
      <c r="BS24" s="43">
        <f t="shared" si="30"/>
        <v>0</v>
      </c>
      <c r="BT24" s="43">
        <f t="shared" si="30"/>
        <v>0</v>
      </c>
      <c r="BU24" s="43">
        <f t="shared" si="30"/>
        <v>0</v>
      </c>
      <c r="BV24" s="43">
        <f t="shared" si="30"/>
        <v>0</v>
      </c>
      <c r="BW24" s="43">
        <f t="shared" si="30"/>
        <v>0</v>
      </c>
      <c r="BX24" s="43">
        <f t="shared" si="30"/>
        <v>0</v>
      </c>
      <c r="BY24" s="43">
        <f t="shared" si="30"/>
        <v>0</v>
      </c>
      <c r="BZ24" s="43">
        <f t="shared" si="30"/>
        <v>0</v>
      </c>
      <c r="CA24" s="43">
        <f t="shared" si="30"/>
        <v>0</v>
      </c>
      <c r="CB24" s="43">
        <f t="shared" si="30"/>
        <v>0</v>
      </c>
      <c r="CC24" s="43">
        <f t="shared" si="30"/>
        <v>0</v>
      </c>
      <c r="CD24" s="43">
        <f t="shared" si="30"/>
        <v>0</v>
      </c>
      <c r="CE24" s="43">
        <f t="shared" si="30"/>
        <v>0</v>
      </c>
      <c r="CF24" s="43">
        <f t="shared" si="30"/>
        <v>0</v>
      </c>
      <c r="CG24" s="43">
        <f t="shared" si="30"/>
        <v>0</v>
      </c>
      <c r="CH24" s="43">
        <f t="shared" si="30"/>
        <v>0</v>
      </c>
      <c r="CI24" s="43">
        <f t="shared" si="30"/>
        <v>0</v>
      </c>
      <c r="CJ24" s="43">
        <f t="shared" si="30"/>
        <v>0</v>
      </c>
      <c r="CK24" s="43">
        <f t="shared" si="30"/>
        <v>0</v>
      </c>
      <c r="CL24" s="43">
        <f t="shared" si="30"/>
        <v>0</v>
      </c>
      <c r="CM24" s="43">
        <f t="shared" si="30"/>
        <v>0</v>
      </c>
      <c r="CN24" s="43">
        <f t="shared" si="30"/>
        <v>0</v>
      </c>
      <c r="CO24" s="43">
        <f t="shared" si="30"/>
        <v>0</v>
      </c>
      <c r="CP24" s="43">
        <f t="shared" si="30"/>
        <v>0</v>
      </c>
      <c r="CQ24" s="43">
        <f t="shared" si="30"/>
        <v>0</v>
      </c>
      <c r="CR24" s="43">
        <f t="shared" si="30"/>
        <v>0</v>
      </c>
      <c r="CS24" s="43">
        <f t="shared" si="30"/>
        <v>0</v>
      </c>
      <c r="CT24" s="43">
        <f t="shared" si="30"/>
        <v>0</v>
      </c>
      <c r="CU24" s="43">
        <f t="shared" ref="CU24:DS24" si="31">CU21+CU22-CU23</f>
        <v>0</v>
      </c>
      <c r="CV24" s="43">
        <f t="shared" si="31"/>
        <v>0</v>
      </c>
      <c r="CW24" s="43">
        <f t="shared" si="31"/>
        <v>0</v>
      </c>
      <c r="CX24" s="43">
        <f t="shared" si="31"/>
        <v>0</v>
      </c>
      <c r="CY24" s="43">
        <f t="shared" si="31"/>
        <v>0</v>
      </c>
      <c r="CZ24" s="43">
        <f t="shared" si="31"/>
        <v>0</v>
      </c>
      <c r="DA24" s="43">
        <f t="shared" si="31"/>
        <v>0</v>
      </c>
      <c r="DB24" s="43">
        <f t="shared" si="31"/>
        <v>0</v>
      </c>
      <c r="DC24" s="43">
        <f t="shared" si="31"/>
        <v>0</v>
      </c>
      <c r="DD24" s="43">
        <f t="shared" si="31"/>
        <v>0</v>
      </c>
      <c r="DE24" s="43">
        <f t="shared" si="31"/>
        <v>0</v>
      </c>
      <c r="DF24" s="43">
        <f t="shared" si="31"/>
        <v>0</v>
      </c>
      <c r="DG24" s="43">
        <f t="shared" si="31"/>
        <v>0</v>
      </c>
      <c r="DH24" s="43">
        <f t="shared" si="31"/>
        <v>0</v>
      </c>
      <c r="DI24" s="43">
        <f t="shared" si="31"/>
        <v>0</v>
      </c>
      <c r="DJ24" s="43">
        <f t="shared" si="31"/>
        <v>0</v>
      </c>
      <c r="DK24" s="43">
        <f t="shared" si="31"/>
        <v>0</v>
      </c>
      <c r="DL24" s="43">
        <f t="shared" si="31"/>
        <v>0</v>
      </c>
      <c r="DM24" s="43">
        <f t="shared" si="31"/>
        <v>0</v>
      </c>
      <c r="DN24" s="43">
        <f t="shared" si="31"/>
        <v>0</v>
      </c>
      <c r="DO24" s="43">
        <f t="shared" si="31"/>
        <v>0</v>
      </c>
      <c r="DP24" s="43">
        <f t="shared" si="31"/>
        <v>0</v>
      </c>
      <c r="DQ24" s="43">
        <f t="shared" si="31"/>
        <v>0</v>
      </c>
      <c r="DR24" s="43">
        <f t="shared" si="31"/>
        <v>0</v>
      </c>
      <c r="DS24" s="43">
        <f t="shared" si="31"/>
        <v>0</v>
      </c>
      <c r="DT24" s="58"/>
      <c r="DU24" s="58"/>
    </row>
    <row r="25" spans="1:125" ht="6" customHeight="1" x14ac:dyDescent="0.4">
      <c r="A25" s="55"/>
      <c r="B25" s="55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  <c r="AQ25" s="58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58"/>
      <c r="BF25" s="58"/>
      <c r="BG25" s="58"/>
      <c r="BH25" s="58"/>
      <c r="BI25" s="58"/>
      <c r="BJ25" s="58"/>
      <c r="BK25" s="58"/>
      <c r="BL25" s="58"/>
      <c r="BM25" s="58"/>
      <c r="BN25" s="58"/>
      <c r="BO25" s="58"/>
      <c r="BP25" s="58"/>
      <c r="BQ25" s="58"/>
      <c r="BR25" s="58"/>
      <c r="BS25" s="58"/>
      <c r="BT25" s="58"/>
      <c r="BU25" s="58"/>
      <c r="BV25" s="58"/>
      <c r="BW25" s="58"/>
      <c r="BX25" s="58"/>
      <c r="BY25" s="58"/>
      <c r="BZ25" s="58"/>
      <c r="CA25" s="58"/>
      <c r="CB25" s="58"/>
      <c r="CC25" s="58"/>
      <c r="CD25" s="58"/>
      <c r="CE25" s="58"/>
      <c r="CF25" s="58"/>
      <c r="CG25" s="58"/>
      <c r="CH25" s="58"/>
      <c r="CI25" s="58"/>
      <c r="CJ25" s="58"/>
      <c r="CK25" s="58"/>
      <c r="CL25" s="58"/>
      <c r="CM25" s="58"/>
      <c r="CN25" s="58"/>
      <c r="CO25" s="58"/>
      <c r="CP25" s="58"/>
      <c r="CQ25" s="58"/>
      <c r="CR25" s="58"/>
      <c r="CS25" s="58"/>
      <c r="CT25" s="58"/>
      <c r="CU25" s="58"/>
      <c r="CV25" s="58"/>
      <c r="CW25" s="58"/>
      <c r="CX25" s="58"/>
      <c r="CY25" s="58"/>
      <c r="CZ25" s="58"/>
      <c r="DA25" s="58"/>
      <c r="DB25" s="58"/>
      <c r="DC25" s="58"/>
      <c r="DD25" s="58"/>
      <c r="DE25" s="58"/>
      <c r="DF25" s="58"/>
      <c r="DG25" s="58"/>
      <c r="DH25" s="58"/>
      <c r="DI25" s="58"/>
      <c r="DJ25" s="58"/>
      <c r="DK25" s="58"/>
      <c r="DL25" s="58"/>
      <c r="DM25" s="58"/>
      <c r="DN25" s="58"/>
      <c r="DO25" s="58"/>
      <c r="DP25" s="58"/>
      <c r="DQ25" s="58"/>
      <c r="DR25" s="58"/>
      <c r="DS25" s="58"/>
      <c r="DT25" s="58"/>
      <c r="DU25" s="58"/>
    </row>
    <row r="26" spans="1:125" ht="22.05" customHeight="1" x14ac:dyDescent="0.5">
      <c r="A26" s="55"/>
      <c r="B26" s="50" t="s">
        <v>137</v>
      </c>
      <c r="C26" s="49"/>
      <c r="D26" s="49"/>
      <c r="E26" s="49"/>
      <c r="F26" s="49"/>
      <c r="G26" s="49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58"/>
      <c r="BF26" s="58"/>
      <c r="BG26" s="58"/>
      <c r="BH26" s="58"/>
      <c r="BI26" s="58"/>
      <c r="BJ26" s="58"/>
      <c r="BK26" s="58"/>
      <c r="BL26" s="58"/>
      <c r="BM26" s="58"/>
      <c r="BN26" s="58"/>
      <c r="BO26" s="58"/>
      <c r="BP26" s="58"/>
      <c r="BQ26" s="58"/>
      <c r="BR26" s="58"/>
      <c r="BS26" s="58"/>
      <c r="BT26" s="58"/>
      <c r="BU26" s="58"/>
      <c r="BV26" s="58"/>
      <c r="BW26" s="58"/>
      <c r="BX26" s="58"/>
      <c r="BY26" s="58"/>
      <c r="BZ26" s="58"/>
      <c r="CA26" s="58"/>
      <c r="CB26" s="58"/>
      <c r="CC26" s="58"/>
      <c r="CD26" s="58"/>
      <c r="CE26" s="58"/>
      <c r="CF26" s="58"/>
      <c r="CG26" s="58"/>
      <c r="CH26" s="58"/>
      <c r="CI26" s="58"/>
      <c r="CJ26" s="58"/>
      <c r="CK26" s="58"/>
      <c r="CL26" s="58"/>
      <c r="CM26" s="58"/>
      <c r="CN26" s="58"/>
      <c r="CO26" s="58"/>
      <c r="CP26" s="58"/>
      <c r="CQ26" s="58"/>
      <c r="CR26" s="58"/>
      <c r="CS26" s="58"/>
      <c r="CT26" s="58"/>
      <c r="CU26" s="58"/>
      <c r="CV26" s="58"/>
      <c r="CW26" s="58"/>
      <c r="CX26" s="58"/>
      <c r="CY26" s="58"/>
      <c r="CZ26" s="58"/>
      <c r="DA26" s="58"/>
      <c r="DB26" s="58"/>
      <c r="DC26" s="58"/>
      <c r="DD26" s="58"/>
      <c r="DE26" s="58"/>
      <c r="DF26" s="58"/>
      <c r="DG26" s="58"/>
      <c r="DH26" s="58"/>
      <c r="DI26" s="58"/>
      <c r="DJ26" s="58"/>
      <c r="DK26" s="58"/>
      <c r="DL26" s="58"/>
      <c r="DM26" s="58"/>
      <c r="DN26" s="58"/>
      <c r="DO26" s="58"/>
      <c r="DP26" s="58"/>
      <c r="DQ26" s="58"/>
      <c r="DR26" s="58"/>
      <c r="DS26" s="58"/>
      <c r="DT26" s="58"/>
      <c r="DU26" s="58"/>
    </row>
    <row r="27" spans="1:125" ht="15" customHeight="1" x14ac:dyDescent="0.4">
      <c r="A27" s="55"/>
      <c r="B27" s="41" t="s">
        <v>138</v>
      </c>
      <c r="C27" s="42">
        <f>ACQUISITION_COST*LTV_RATIO</f>
        <v>3250000</v>
      </c>
      <c r="D27" s="42">
        <v>0</v>
      </c>
      <c r="E27" s="42">
        <v>0</v>
      </c>
      <c r="F27" s="42">
        <v>0</v>
      </c>
      <c r="G27" s="42">
        <v>0</v>
      </c>
      <c r="H27" s="42">
        <v>0</v>
      </c>
      <c r="I27" s="42">
        <v>0</v>
      </c>
      <c r="J27" s="42">
        <v>0</v>
      </c>
      <c r="K27" s="42">
        <v>0</v>
      </c>
      <c r="L27" s="42">
        <v>0</v>
      </c>
      <c r="M27" s="42">
        <v>0</v>
      </c>
      <c r="N27" s="42">
        <v>0</v>
      </c>
      <c r="O27" s="42">
        <v>0</v>
      </c>
      <c r="P27" s="42">
        <v>0</v>
      </c>
      <c r="Q27" s="42">
        <v>0</v>
      </c>
      <c r="R27" s="42">
        <v>0</v>
      </c>
      <c r="S27" s="42">
        <v>0</v>
      </c>
      <c r="T27" s="42">
        <v>0</v>
      </c>
      <c r="U27" s="42">
        <v>0</v>
      </c>
      <c r="V27" s="42">
        <v>0</v>
      </c>
      <c r="W27" s="42">
        <v>0</v>
      </c>
      <c r="X27" s="42">
        <v>0</v>
      </c>
      <c r="Y27" s="42">
        <v>0</v>
      </c>
      <c r="Z27" s="42">
        <v>0</v>
      </c>
      <c r="AA27" s="42">
        <v>0</v>
      </c>
      <c r="AB27" s="42">
        <v>0</v>
      </c>
      <c r="AC27" s="42">
        <v>0</v>
      </c>
      <c r="AD27" s="42">
        <v>0</v>
      </c>
      <c r="AE27" s="42">
        <v>0</v>
      </c>
      <c r="AF27" s="42">
        <v>0</v>
      </c>
      <c r="AG27" s="42">
        <v>0</v>
      </c>
      <c r="AH27" s="42">
        <v>0</v>
      </c>
      <c r="AI27" s="42">
        <v>0</v>
      </c>
      <c r="AJ27" s="42">
        <v>0</v>
      </c>
      <c r="AK27" s="42">
        <v>0</v>
      </c>
      <c r="AL27" s="42">
        <v>0</v>
      </c>
      <c r="AM27" s="42">
        <v>0</v>
      </c>
      <c r="AN27" s="42">
        <v>0</v>
      </c>
      <c r="AO27" s="42">
        <v>0</v>
      </c>
      <c r="AP27" s="42">
        <v>0</v>
      </c>
      <c r="AQ27" s="42">
        <v>0</v>
      </c>
      <c r="AR27" s="42">
        <v>0</v>
      </c>
      <c r="AS27" s="42">
        <v>0</v>
      </c>
      <c r="AT27" s="42">
        <v>0</v>
      </c>
      <c r="AU27" s="42">
        <v>0</v>
      </c>
      <c r="AV27" s="42">
        <v>0</v>
      </c>
      <c r="AW27" s="42">
        <v>0</v>
      </c>
      <c r="AX27" s="42">
        <v>0</v>
      </c>
      <c r="AY27" s="42">
        <v>0</v>
      </c>
      <c r="AZ27" s="42">
        <v>0</v>
      </c>
      <c r="BA27" s="42">
        <v>0</v>
      </c>
      <c r="BB27" s="42">
        <v>0</v>
      </c>
      <c r="BC27" s="42">
        <v>0</v>
      </c>
      <c r="BD27" s="42">
        <v>0</v>
      </c>
      <c r="BE27" s="42">
        <v>0</v>
      </c>
      <c r="BF27" s="42">
        <v>0</v>
      </c>
      <c r="BG27" s="42">
        <v>0</v>
      </c>
      <c r="BH27" s="42">
        <v>0</v>
      </c>
      <c r="BI27" s="42">
        <v>0</v>
      </c>
      <c r="BJ27" s="42">
        <v>0</v>
      </c>
      <c r="BK27" s="42">
        <v>0</v>
      </c>
      <c r="BL27" s="42">
        <v>0</v>
      </c>
      <c r="BM27" s="42">
        <v>0</v>
      </c>
      <c r="BN27" s="42">
        <v>0</v>
      </c>
      <c r="BO27" s="42">
        <v>0</v>
      </c>
      <c r="BP27" s="42">
        <v>0</v>
      </c>
      <c r="BQ27" s="42">
        <v>0</v>
      </c>
      <c r="BR27" s="42">
        <v>0</v>
      </c>
      <c r="BS27" s="42">
        <v>0</v>
      </c>
      <c r="BT27" s="42">
        <v>0</v>
      </c>
      <c r="BU27" s="42">
        <v>0</v>
      </c>
      <c r="BV27" s="42">
        <v>0</v>
      </c>
      <c r="BW27" s="42">
        <v>0</v>
      </c>
      <c r="BX27" s="42">
        <v>0</v>
      </c>
      <c r="BY27" s="42">
        <v>0</v>
      </c>
      <c r="BZ27" s="42">
        <v>0</v>
      </c>
      <c r="CA27" s="42">
        <v>0</v>
      </c>
      <c r="CB27" s="42">
        <v>0</v>
      </c>
      <c r="CC27" s="42">
        <v>0</v>
      </c>
      <c r="CD27" s="42">
        <v>0</v>
      </c>
      <c r="CE27" s="42">
        <v>0</v>
      </c>
      <c r="CF27" s="42">
        <v>0</v>
      </c>
      <c r="CG27" s="42">
        <v>0</v>
      </c>
      <c r="CH27" s="42">
        <v>0</v>
      </c>
      <c r="CI27" s="42">
        <v>0</v>
      </c>
      <c r="CJ27" s="42">
        <v>0</v>
      </c>
      <c r="CK27" s="42">
        <v>0</v>
      </c>
      <c r="CL27" s="42">
        <v>0</v>
      </c>
      <c r="CM27" s="42">
        <v>0</v>
      </c>
      <c r="CN27" s="42">
        <v>0</v>
      </c>
      <c r="CO27" s="42">
        <v>0</v>
      </c>
      <c r="CP27" s="42">
        <v>0</v>
      </c>
      <c r="CQ27" s="42">
        <v>0</v>
      </c>
      <c r="CR27" s="42">
        <v>0</v>
      </c>
      <c r="CS27" s="42">
        <v>0</v>
      </c>
      <c r="CT27" s="42">
        <v>0</v>
      </c>
      <c r="CU27" s="42">
        <v>0</v>
      </c>
      <c r="CV27" s="42">
        <v>0</v>
      </c>
      <c r="CW27" s="42">
        <v>0</v>
      </c>
      <c r="CX27" s="42">
        <v>0</v>
      </c>
      <c r="CY27" s="42">
        <v>0</v>
      </c>
      <c r="CZ27" s="42">
        <v>0</v>
      </c>
      <c r="DA27" s="42">
        <v>0</v>
      </c>
      <c r="DB27" s="42">
        <v>0</v>
      </c>
      <c r="DC27" s="42">
        <v>0</v>
      </c>
      <c r="DD27" s="42">
        <v>0</v>
      </c>
      <c r="DE27" s="42">
        <v>0</v>
      </c>
      <c r="DF27" s="42">
        <v>0</v>
      </c>
      <c r="DG27" s="42">
        <v>0</v>
      </c>
      <c r="DH27" s="42">
        <v>0</v>
      </c>
      <c r="DI27" s="42">
        <v>0</v>
      </c>
      <c r="DJ27" s="42">
        <v>0</v>
      </c>
      <c r="DK27" s="42">
        <v>0</v>
      </c>
      <c r="DL27" s="42">
        <v>0</v>
      </c>
      <c r="DM27" s="42">
        <v>0</v>
      </c>
      <c r="DN27" s="42">
        <v>0</v>
      </c>
      <c r="DO27" s="42">
        <v>0</v>
      </c>
      <c r="DP27" s="42">
        <v>0</v>
      </c>
      <c r="DQ27" s="42">
        <v>0</v>
      </c>
      <c r="DR27" s="42">
        <v>0</v>
      </c>
      <c r="DS27" s="42">
        <v>0</v>
      </c>
      <c r="DT27" s="58"/>
      <c r="DU27" s="58"/>
    </row>
    <row r="28" spans="1:125" ht="15" customHeight="1" x14ac:dyDescent="0.4">
      <c r="A28" s="55"/>
      <c r="B28" s="41" t="s">
        <v>139</v>
      </c>
      <c r="C28" s="42">
        <f>C27</f>
        <v>3250000</v>
      </c>
      <c r="D28" s="42">
        <f t="shared" ref="D28:AI28" si="32">IF(D7&gt;DEBT_TENOR_MONTHS,0,MAX(0,C28-D30))</f>
        <v>3201597.6874650707</v>
      </c>
      <c r="E28" s="42">
        <f t="shared" si="32"/>
        <v>3153013.8662581355</v>
      </c>
      <c r="F28" s="42">
        <f t="shared" si="32"/>
        <v>3104247.8557216744</v>
      </c>
      <c r="G28" s="42">
        <f t="shared" si="32"/>
        <v>3055298.9726457014</v>
      </c>
      <c r="H28" s="42">
        <f t="shared" si="32"/>
        <v>3006166.5312581938</v>
      </c>
      <c r="I28" s="42">
        <f t="shared" si="32"/>
        <v>2956849.8432154828</v>
      </c>
      <c r="J28" s="42">
        <f t="shared" si="32"/>
        <v>2907348.2175926119</v>
      </c>
      <c r="K28" s="42">
        <f t="shared" si="32"/>
        <v>2857660.960873655</v>
      </c>
      <c r="L28" s="42">
        <f t="shared" si="32"/>
        <v>2807787.3769420022</v>
      </c>
      <c r="M28" s="42">
        <f t="shared" si="32"/>
        <v>2757726.7670706054</v>
      </c>
      <c r="N28" s="42">
        <f t="shared" si="32"/>
        <v>2707478.4299121909</v>
      </c>
      <c r="O28" s="42">
        <f t="shared" si="32"/>
        <v>2657041.6614894327</v>
      </c>
      <c r="P28" s="42">
        <f t="shared" si="32"/>
        <v>2606415.7551850891</v>
      </c>
      <c r="Q28" s="42">
        <f t="shared" si="32"/>
        <v>2555600.001732104</v>
      </c>
      <c r="R28" s="42">
        <f t="shared" si="32"/>
        <v>2504593.6892036702</v>
      </c>
      <c r="S28" s="42">
        <f t="shared" si="32"/>
        <v>2453396.1030032551</v>
      </c>
      <c r="T28" s="42">
        <f t="shared" si="32"/>
        <v>2402006.525854588</v>
      </c>
      <c r="U28" s="42">
        <f t="shared" si="32"/>
        <v>2350424.2377916137</v>
      </c>
      <c r="V28" s="42">
        <f t="shared" si="32"/>
        <v>2298648.5161484033</v>
      </c>
      <c r="W28" s="42">
        <f t="shared" si="32"/>
        <v>2246678.6355490307</v>
      </c>
      <c r="X28" s="42">
        <f t="shared" si="32"/>
        <v>2194513.8678974104</v>
      </c>
      <c r="Y28" s="42">
        <f t="shared" si="32"/>
        <v>2142153.4823670965</v>
      </c>
      <c r="Z28" s="42">
        <f t="shared" si="32"/>
        <v>2089596.7453910441</v>
      </c>
      <c r="AA28" s="42">
        <f t="shared" si="32"/>
        <v>2036842.9206513313</v>
      </c>
      <c r="AB28" s="42">
        <f t="shared" si="32"/>
        <v>1983891.2690688446</v>
      </c>
      <c r="AC28" s="42">
        <f t="shared" si="32"/>
        <v>1930741.0487929236</v>
      </c>
      <c r="AD28" s="42">
        <f t="shared" si="32"/>
        <v>1877391.5151909678</v>
      </c>
      <c r="AE28" s="42">
        <f t="shared" si="32"/>
        <v>1823841.9208380049</v>
      </c>
      <c r="AF28" s="42">
        <f t="shared" si="32"/>
        <v>1770091.5155062184</v>
      </c>
      <c r="AG28" s="42">
        <f t="shared" si="32"/>
        <v>1716139.5461544376</v>
      </c>
      <c r="AH28" s="42">
        <f t="shared" si="32"/>
        <v>1661985.2569175877</v>
      </c>
      <c r="AI28" s="42">
        <f t="shared" si="32"/>
        <v>1607627.8890960997</v>
      </c>
      <c r="AJ28" s="42">
        <f t="shared" ref="AJ28:BO28" si="33">IF(AJ7&gt;DEBT_TENOR_MONTHS,0,MAX(0,AI28-AJ30))</f>
        <v>1553066.6811452808</v>
      </c>
      <c r="AK28" s="42">
        <f t="shared" si="33"/>
        <v>1498300.8686646465</v>
      </c>
      <c r="AL28" s="42">
        <f t="shared" si="33"/>
        <v>1443329.6843872098</v>
      </c>
      <c r="AM28" s="42">
        <f t="shared" si="33"/>
        <v>1388152.3581687328</v>
      </c>
      <c r="AN28" s="42">
        <f t="shared" si="33"/>
        <v>1332768.1169769366</v>
      </c>
      <c r="AO28" s="42">
        <f t="shared" si="33"/>
        <v>1277176.1848806711</v>
      </c>
      <c r="AP28" s="42">
        <f t="shared" si="33"/>
        <v>1221375.7830390446</v>
      </c>
      <c r="AQ28" s="42">
        <f t="shared" si="33"/>
        <v>1165366.1296905119</v>
      </c>
      <c r="AR28" s="42">
        <f t="shared" si="33"/>
        <v>1109146.4401419221</v>
      </c>
      <c r="AS28" s="42">
        <f t="shared" si="33"/>
        <v>1052715.9267575252</v>
      </c>
      <c r="AT28" s="42">
        <f t="shared" si="33"/>
        <v>996073.79894793686</v>
      </c>
      <c r="AU28" s="42">
        <f t="shared" si="33"/>
        <v>939219.26315906248</v>
      </c>
      <c r="AV28" s="42">
        <f t="shared" si="33"/>
        <v>882151.52286097989</v>
      </c>
      <c r="AW28" s="42">
        <f t="shared" si="33"/>
        <v>824869.77853677946</v>
      </c>
      <c r="AX28" s="42">
        <f t="shared" si="33"/>
        <v>767373.22767136327</v>
      </c>
      <c r="AY28" s="42">
        <f t="shared" si="33"/>
        <v>709661.06474020181</v>
      </c>
      <c r="AZ28" s="42">
        <f t="shared" si="33"/>
        <v>651732.48119804845</v>
      </c>
      <c r="BA28" s="42">
        <f t="shared" si="33"/>
        <v>593586.66546761198</v>
      </c>
      <c r="BB28" s="42">
        <f t="shared" si="33"/>
        <v>535222.80292818637</v>
      </c>
      <c r="BC28" s="42">
        <f t="shared" si="33"/>
        <v>476640.07590423798</v>
      </c>
      <c r="BD28" s="42">
        <f t="shared" si="33"/>
        <v>417837.66365394974</v>
      </c>
      <c r="BE28" s="42">
        <f t="shared" si="33"/>
        <v>358814.74235772295</v>
      </c>
      <c r="BF28" s="42">
        <f t="shared" si="33"/>
        <v>299570.48510663531</v>
      </c>
      <c r="BG28" s="42">
        <f t="shared" si="33"/>
        <v>240104.06189085607</v>
      </c>
      <c r="BH28" s="42">
        <f t="shared" si="33"/>
        <v>180414.63958801766</v>
      </c>
      <c r="BI28" s="42">
        <f t="shared" si="33"/>
        <v>120501.38195154362</v>
      </c>
      <c r="BJ28" s="42">
        <f t="shared" si="33"/>
        <v>60363.449598932799</v>
      </c>
      <c r="BK28" s="42">
        <f t="shared" si="33"/>
        <v>0</v>
      </c>
      <c r="BL28" s="42">
        <f t="shared" si="33"/>
        <v>0</v>
      </c>
      <c r="BM28" s="42">
        <f t="shared" si="33"/>
        <v>0</v>
      </c>
      <c r="BN28" s="42">
        <f t="shared" si="33"/>
        <v>0</v>
      </c>
      <c r="BO28" s="42">
        <f t="shared" si="33"/>
        <v>0</v>
      </c>
      <c r="BP28" s="42">
        <f t="shared" ref="BP28:CU28" si="34">IF(BP7&gt;DEBT_TENOR_MONTHS,0,MAX(0,BO28-BP30))</f>
        <v>0</v>
      </c>
      <c r="BQ28" s="42">
        <f t="shared" si="34"/>
        <v>0</v>
      </c>
      <c r="BR28" s="42">
        <f t="shared" si="34"/>
        <v>0</v>
      </c>
      <c r="BS28" s="42">
        <f t="shared" si="34"/>
        <v>0</v>
      </c>
      <c r="BT28" s="42">
        <f t="shared" si="34"/>
        <v>0</v>
      </c>
      <c r="BU28" s="42">
        <f t="shared" si="34"/>
        <v>0</v>
      </c>
      <c r="BV28" s="42">
        <f t="shared" si="34"/>
        <v>0</v>
      </c>
      <c r="BW28" s="42">
        <f t="shared" si="34"/>
        <v>0</v>
      </c>
      <c r="BX28" s="42">
        <f t="shared" si="34"/>
        <v>0</v>
      </c>
      <c r="BY28" s="42">
        <f t="shared" si="34"/>
        <v>0</v>
      </c>
      <c r="BZ28" s="42">
        <f t="shared" si="34"/>
        <v>0</v>
      </c>
      <c r="CA28" s="42">
        <f t="shared" si="34"/>
        <v>0</v>
      </c>
      <c r="CB28" s="42">
        <f t="shared" si="34"/>
        <v>0</v>
      </c>
      <c r="CC28" s="42">
        <f t="shared" si="34"/>
        <v>0</v>
      </c>
      <c r="CD28" s="42">
        <f t="shared" si="34"/>
        <v>0</v>
      </c>
      <c r="CE28" s="42">
        <f t="shared" si="34"/>
        <v>0</v>
      </c>
      <c r="CF28" s="42">
        <f t="shared" si="34"/>
        <v>0</v>
      </c>
      <c r="CG28" s="42">
        <f t="shared" si="34"/>
        <v>0</v>
      </c>
      <c r="CH28" s="42">
        <f t="shared" si="34"/>
        <v>0</v>
      </c>
      <c r="CI28" s="42">
        <f t="shared" si="34"/>
        <v>0</v>
      </c>
      <c r="CJ28" s="42">
        <f t="shared" si="34"/>
        <v>0</v>
      </c>
      <c r="CK28" s="42">
        <f t="shared" si="34"/>
        <v>0</v>
      </c>
      <c r="CL28" s="42">
        <f t="shared" si="34"/>
        <v>0</v>
      </c>
      <c r="CM28" s="42">
        <f t="shared" si="34"/>
        <v>0</v>
      </c>
      <c r="CN28" s="42">
        <f t="shared" si="34"/>
        <v>0</v>
      </c>
      <c r="CO28" s="42">
        <f t="shared" si="34"/>
        <v>0</v>
      </c>
      <c r="CP28" s="42">
        <f t="shared" si="34"/>
        <v>0</v>
      </c>
      <c r="CQ28" s="42">
        <f t="shared" si="34"/>
        <v>0</v>
      </c>
      <c r="CR28" s="42">
        <f t="shared" si="34"/>
        <v>0</v>
      </c>
      <c r="CS28" s="42">
        <f t="shared" si="34"/>
        <v>0</v>
      </c>
      <c r="CT28" s="42">
        <f t="shared" si="34"/>
        <v>0</v>
      </c>
      <c r="CU28" s="42">
        <f t="shared" si="34"/>
        <v>0</v>
      </c>
      <c r="CV28" s="42">
        <f t="shared" ref="CV28:DS28" si="35">IF(CV7&gt;DEBT_TENOR_MONTHS,0,MAX(0,CU28-CV30))</f>
        <v>0</v>
      </c>
      <c r="CW28" s="42">
        <f t="shared" si="35"/>
        <v>0</v>
      </c>
      <c r="CX28" s="42">
        <f t="shared" si="35"/>
        <v>0</v>
      </c>
      <c r="CY28" s="42">
        <f t="shared" si="35"/>
        <v>0</v>
      </c>
      <c r="CZ28" s="42">
        <f t="shared" si="35"/>
        <v>0</v>
      </c>
      <c r="DA28" s="42">
        <f t="shared" si="35"/>
        <v>0</v>
      </c>
      <c r="DB28" s="42">
        <f t="shared" si="35"/>
        <v>0</v>
      </c>
      <c r="DC28" s="42">
        <f t="shared" si="35"/>
        <v>0</v>
      </c>
      <c r="DD28" s="42">
        <f t="shared" si="35"/>
        <v>0</v>
      </c>
      <c r="DE28" s="42">
        <f t="shared" si="35"/>
        <v>0</v>
      </c>
      <c r="DF28" s="42">
        <f t="shared" si="35"/>
        <v>0</v>
      </c>
      <c r="DG28" s="42">
        <f t="shared" si="35"/>
        <v>0</v>
      </c>
      <c r="DH28" s="42">
        <f t="shared" si="35"/>
        <v>0</v>
      </c>
      <c r="DI28" s="42">
        <f t="shared" si="35"/>
        <v>0</v>
      </c>
      <c r="DJ28" s="42">
        <f t="shared" si="35"/>
        <v>0</v>
      </c>
      <c r="DK28" s="42">
        <f t="shared" si="35"/>
        <v>0</v>
      </c>
      <c r="DL28" s="42">
        <f t="shared" si="35"/>
        <v>0</v>
      </c>
      <c r="DM28" s="42">
        <f t="shared" si="35"/>
        <v>0</v>
      </c>
      <c r="DN28" s="42">
        <f t="shared" si="35"/>
        <v>0</v>
      </c>
      <c r="DO28" s="42">
        <f t="shared" si="35"/>
        <v>0</v>
      </c>
      <c r="DP28" s="42">
        <f t="shared" si="35"/>
        <v>0</v>
      </c>
      <c r="DQ28" s="42">
        <f t="shared" si="35"/>
        <v>0</v>
      </c>
      <c r="DR28" s="42">
        <f t="shared" si="35"/>
        <v>0</v>
      </c>
      <c r="DS28" s="42">
        <f t="shared" si="35"/>
        <v>0</v>
      </c>
      <c r="DT28" s="58"/>
      <c r="DU28" s="58"/>
    </row>
    <row r="29" spans="1:125" ht="15" customHeight="1" x14ac:dyDescent="0.4">
      <c r="A29" s="55"/>
      <c r="B29" s="41" t="s">
        <v>140</v>
      </c>
      <c r="C29" s="42">
        <v>0</v>
      </c>
      <c r="D29" s="42">
        <f t="shared" ref="D29:AI29" si="36">IF(D7&gt;DEBT_TENOR_MONTHS,0,C28*(DEBT_INTEREST_RATE/12))</f>
        <v>12187.5</v>
      </c>
      <c r="E29" s="42">
        <f t="shared" si="36"/>
        <v>12005.991327994016</v>
      </c>
      <c r="F29" s="42">
        <f t="shared" si="36"/>
        <v>11823.801998468009</v>
      </c>
      <c r="G29" s="42">
        <f t="shared" si="36"/>
        <v>11640.929458956278</v>
      </c>
      <c r="H29" s="42">
        <f t="shared" si="36"/>
        <v>11457.37114742138</v>
      </c>
      <c r="I29" s="42">
        <f t="shared" si="36"/>
        <v>11273.124492218227</v>
      </c>
      <c r="J29" s="42">
        <f t="shared" si="36"/>
        <v>11088.18691205806</v>
      </c>
      <c r="K29" s="42">
        <f t="shared" si="36"/>
        <v>10902.555815972295</v>
      </c>
      <c r="L29" s="42">
        <f t="shared" si="36"/>
        <v>10716.228603276206</v>
      </c>
      <c r="M29" s="42">
        <f t="shared" si="36"/>
        <v>10529.202663532507</v>
      </c>
      <c r="N29" s="42">
        <f t="shared" si="36"/>
        <v>10341.475376514771</v>
      </c>
      <c r="O29" s="42">
        <f t="shared" si="36"/>
        <v>10153.044112170715</v>
      </c>
      <c r="P29" s="42">
        <f t="shared" si="36"/>
        <v>9963.9062305853713</v>
      </c>
      <c r="Q29" s="42">
        <f t="shared" si="36"/>
        <v>9774.059081944084</v>
      </c>
      <c r="R29" s="42">
        <f t="shared" si="36"/>
        <v>9583.5000064953892</v>
      </c>
      <c r="S29" s="42">
        <f t="shared" si="36"/>
        <v>9392.2263345137635</v>
      </c>
      <c r="T29" s="42">
        <f t="shared" si="36"/>
        <v>9200.2353862622058</v>
      </c>
      <c r="U29" s="42">
        <f t="shared" si="36"/>
        <v>9007.5244719547045</v>
      </c>
      <c r="V29" s="42">
        <f t="shared" si="36"/>
        <v>8814.0908917185516</v>
      </c>
      <c r="W29" s="42">
        <f t="shared" si="36"/>
        <v>8619.9319355565112</v>
      </c>
      <c r="X29" s="42">
        <f t="shared" si="36"/>
        <v>8425.0448833088649</v>
      </c>
      <c r="Y29" s="42">
        <f t="shared" si="36"/>
        <v>8229.4270046152888</v>
      </c>
      <c r="Z29" s="42">
        <f t="shared" si="36"/>
        <v>8033.0755588766115</v>
      </c>
      <c r="AA29" s="42">
        <f t="shared" si="36"/>
        <v>7835.9877952164152</v>
      </c>
      <c r="AB29" s="42">
        <f t="shared" si="36"/>
        <v>7638.1609524424921</v>
      </c>
      <c r="AC29" s="42">
        <f t="shared" si="36"/>
        <v>7439.5922590081673</v>
      </c>
      <c r="AD29" s="42">
        <f t="shared" si="36"/>
        <v>7240.2789329734633</v>
      </c>
      <c r="AE29" s="42">
        <f t="shared" si="36"/>
        <v>7040.2181819661291</v>
      </c>
      <c r="AF29" s="42">
        <f t="shared" si="36"/>
        <v>6839.4072031425185</v>
      </c>
      <c r="AG29" s="42">
        <f t="shared" si="36"/>
        <v>6637.8431831483185</v>
      </c>
      <c r="AH29" s="42">
        <f t="shared" si="36"/>
        <v>6435.5232980791407</v>
      </c>
      <c r="AI29" s="42">
        <f t="shared" si="36"/>
        <v>6232.4447134409538</v>
      </c>
      <c r="AJ29" s="42">
        <f t="shared" ref="AJ29:BO29" si="37">IF(AJ7&gt;DEBT_TENOR_MONTHS,0,AI28*(DEBT_INTEREST_RATE/12))</f>
        <v>6028.6045841103733</v>
      </c>
      <c r="AK29" s="42">
        <f t="shared" si="37"/>
        <v>5824.0000542948028</v>
      </c>
      <c r="AL29" s="42">
        <f t="shared" si="37"/>
        <v>5618.6282574924244</v>
      </c>
      <c r="AM29" s="42">
        <f t="shared" si="37"/>
        <v>5412.4863164520366</v>
      </c>
      <c r="AN29" s="42">
        <f t="shared" si="37"/>
        <v>5205.5713431327476</v>
      </c>
      <c r="AO29" s="42">
        <f t="shared" si="37"/>
        <v>4997.880438663512</v>
      </c>
      <c r="AP29" s="42">
        <f t="shared" si="37"/>
        <v>4789.4106933025168</v>
      </c>
      <c r="AQ29" s="42">
        <f t="shared" si="37"/>
        <v>4580.1591863964168</v>
      </c>
      <c r="AR29" s="42">
        <f t="shared" si="37"/>
        <v>4370.1229863394192</v>
      </c>
      <c r="AS29" s="42">
        <f t="shared" si="37"/>
        <v>4159.2991505322079</v>
      </c>
      <c r="AT29" s="42">
        <f t="shared" si="37"/>
        <v>3947.6847253407195</v>
      </c>
      <c r="AU29" s="42">
        <f t="shared" si="37"/>
        <v>3735.276746054763</v>
      </c>
      <c r="AV29" s="42">
        <f t="shared" si="37"/>
        <v>3522.072236846484</v>
      </c>
      <c r="AW29" s="42">
        <f t="shared" si="37"/>
        <v>3308.0682107286743</v>
      </c>
      <c r="AX29" s="42">
        <f t="shared" si="37"/>
        <v>3093.2616695129227</v>
      </c>
      <c r="AY29" s="42">
        <f t="shared" si="37"/>
        <v>2877.649603767612</v>
      </c>
      <c r="AZ29" s="42">
        <f t="shared" si="37"/>
        <v>2661.2289927757565</v>
      </c>
      <c r="BA29" s="42">
        <f t="shared" si="37"/>
        <v>2443.9968044926818</v>
      </c>
      <c r="BB29" s="42">
        <f t="shared" si="37"/>
        <v>2225.9499955035449</v>
      </c>
      <c r="BC29" s="42">
        <f t="shared" si="37"/>
        <v>2007.0855109806989</v>
      </c>
      <c r="BD29" s="42">
        <f t="shared" si="37"/>
        <v>1787.4002846408923</v>
      </c>
      <c r="BE29" s="42">
        <f t="shared" si="37"/>
        <v>1566.8912387023115</v>
      </c>
      <c r="BF29" s="42">
        <f t="shared" si="37"/>
        <v>1345.555283841461</v>
      </c>
      <c r="BG29" s="42">
        <f t="shared" si="37"/>
        <v>1123.3893191498823</v>
      </c>
      <c r="BH29" s="42">
        <f t="shared" si="37"/>
        <v>900.39023209071024</v>
      </c>
      <c r="BI29" s="42">
        <f t="shared" si="37"/>
        <v>676.55489845506622</v>
      </c>
      <c r="BJ29" s="42">
        <f t="shared" si="37"/>
        <v>451.88018231828858</v>
      </c>
      <c r="BK29" s="42">
        <f t="shared" si="37"/>
        <v>226.36293599599799</v>
      </c>
      <c r="BL29" s="42">
        <f t="shared" si="37"/>
        <v>0</v>
      </c>
      <c r="BM29" s="42">
        <f t="shared" si="37"/>
        <v>0</v>
      </c>
      <c r="BN29" s="42">
        <f t="shared" si="37"/>
        <v>0</v>
      </c>
      <c r="BO29" s="42">
        <f t="shared" si="37"/>
        <v>0</v>
      </c>
      <c r="BP29" s="42">
        <f t="shared" ref="BP29:CU29" si="38">IF(BP7&gt;DEBT_TENOR_MONTHS,0,BO28*(DEBT_INTEREST_RATE/12))</f>
        <v>0</v>
      </c>
      <c r="BQ29" s="42">
        <f t="shared" si="38"/>
        <v>0</v>
      </c>
      <c r="BR29" s="42">
        <f t="shared" si="38"/>
        <v>0</v>
      </c>
      <c r="BS29" s="42">
        <f t="shared" si="38"/>
        <v>0</v>
      </c>
      <c r="BT29" s="42">
        <f t="shared" si="38"/>
        <v>0</v>
      </c>
      <c r="BU29" s="42">
        <f t="shared" si="38"/>
        <v>0</v>
      </c>
      <c r="BV29" s="42">
        <f t="shared" si="38"/>
        <v>0</v>
      </c>
      <c r="BW29" s="42">
        <f t="shared" si="38"/>
        <v>0</v>
      </c>
      <c r="BX29" s="42">
        <f t="shared" si="38"/>
        <v>0</v>
      </c>
      <c r="BY29" s="42">
        <f t="shared" si="38"/>
        <v>0</v>
      </c>
      <c r="BZ29" s="42">
        <f t="shared" si="38"/>
        <v>0</v>
      </c>
      <c r="CA29" s="42">
        <f t="shared" si="38"/>
        <v>0</v>
      </c>
      <c r="CB29" s="42">
        <f t="shared" si="38"/>
        <v>0</v>
      </c>
      <c r="CC29" s="42">
        <f t="shared" si="38"/>
        <v>0</v>
      </c>
      <c r="CD29" s="42">
        <f t="shared" si="38"/>
        <v>0</v>
      </c>
      <c r="CE29" s="42">
        <f t="shared" si="38"/>
        <v>0</v>
      </c>
      <c r="CF29" s="42">
        <f t="shared" si="38"/>
        <v>0</v>
      </c>
      <c r="CG29" s="42">
        <f t="shared" si="38"/>
        <v>0</v>
      </c>
      <c r="CH29" s="42">
        <f t="shared" si="38"/>
        <v>0</v>
      </c>
      <c r="CI29" s="42">
        <f t="shared" si="38"/>
        <v>0</v>
      </c>
      <c r="CJ29" s="42">
        <f t="shared" si="38"/>
        <v>0</v>
      </c>
      <c r="CK29" s="42">
        <f t="shared" si="38"/>
        <v>0</v>
      </c>
      <c r="CL29" s="42">
        <f t="shared" si="38"/>
        <v>0</v>
      </c>
      <c r="CM29" s="42">
        <f t="shared" si="38"/>
        <v>0</v>
      </c>
      <c r="CN29" s="42">
        <f t="shared" si="38"/>
        <v>0</v>
      </c>
      <c r="CO29" s="42">
        <f t="shared" si="38"/>
        <v>0</v>
      </c>
      <c r="CP29" s="42">
        <f t="shared" si="38"/>
        <v>0</v>
      </c>
      <c r="CQ29" s="42">
        <f t="shared" si="38"/>
        <v>0</v>
      </c>
      <c r="CR29" s="42">
        <f t="shared" si="38"/>
        <v>0</v>
      </c>
      <c r="CS29" s="42">
        <f t="shared" si="38"/>
        <v>0</v>
      </c>
      <c r="CT29" s="42">
        <f t="shared" si="38"/>
        <v>0</v>
      </c>
      <c r="CU29" s="42">
        <f t="shared" si="38"/>
        <v>0</v>
      </c>
      <c r="CV29" s="42">
        <f t="shared" ref="CV29:DS29" si="39">IF(CV7&gt;DEBT_TENOR_MONTHS,0,CU28*(DEBT_INTEREST_RATE/12))</f>
        <v>0</v>
      </c>
      <c r="CW29" s="42">
        <f t="shared" si="39"/>
        <v>0</v>
      </c>
      <c r="CX29" s="42">
        <f t="shared" si="39"/>
        <v>0</v>
      </c>
      <c r="CY29" s="42">
        <f t="shared" si="39"/>
        <v>0</v>
      </c>
      <c r="CZ29" s="42">
        <f t="shared" si="39"/>
        <v>0</v>
      </c>
      <c r="DA29" s="42">
        <f t="shared" si="39"/>
        <v>0</v>
      </c>
      <c r="DB29" s="42">
        <f t="shared" si="39"/>
        <v>0</v>
      </c>
      <c r="DC29" s="42">
        <f t="shared" si="39"/>
        <v>0</v>
      </c>
      <c r="DD29" s="42">
        <f t="shared" si="39"/>
        <v>0</v>
      </c>
      <c r="DE29" s="42">
        <f t="shared" si="39"/>
        <v>0</v>
      </c>
      <c r="DF29" s="42">
        <f t="shared" si="39"/>
        <v>0</v>
      </c>
      <c r="DG29" s="42">
        <f t="shared" si="39"/>
        <v>0</v>
      </c>
      <c r="DH29" s="42">
        <f t="shared" si="39"/>
        <v>0</v>
      </c>
      <c r="DI29" s="42">
        <f t="shared" si="39"/>
        <v>0</v>
      </c>
      <c r="DJ29" s="42">
        <f t="shared" si="39"/>
        <v>0</v>
      </c>
      <c r="DK29" s="42">
        <f t="shared" si="39"/>
        <v>0</v>
      </c>
      <c r="DL29" s="42">
        <f t="shared" si="39"/>
        <v>0</v>
      </c>
      <c r="DM29" s="42">
        <f t="shared" si="39"/>
        <v>0</v>
      </c>
      <c r="DN29" s="42">
        <f t="shared" si="39"/>
        <v>0</v>
      </c>
      <c r="DO29" s="42">
        <f t="shared" si="39"/>
        <v>0</v>
      </c>
      <c r="DP29" s="42">
        <f t="shared" si="39"/>
        <v>0</v>
      </c>
      <c r="DQ29" s="42">
        <f t="shared" si="39"/>
        <v>0</v>
      </c>
      <c r="DR29" s="42">
        <f t="shared" si="39"/>
        <v>0</v>
      </c>
      <c r="DS29" s="42">
        <f t="shared" si="39"/>
        <v>0</v>
      </c>
      <c r="DT29" s="58"/>
      <c r="DU29" s="58"/>
    </row>
    <row r="30" spans="1:125" ht="15" customHeight="1" x14ac:dyDescent="0.4">
      <c r="A30" s="55"/>
      <c r="B30" s="41" t="s">
        <v>141</v>
      </c>
      <c r="C30" s="42">
        <v>0</v>
      </c>
      <c r="D30" s="42" cm="1">
        <f t="array" ref="D30">IF(D7&gt;DEBT_TENOR_MONTHS,0,_xlfn.IFS(DEBT_AMORTIZATION_TYPE=1,MAX(0,ABS(PMT(DEBT_INTEREST_RATE/12,DEBT_TENOR_MONTHS,-(ACQUISITION_COST*LTV_RATIO)))-D29),DEBT_AMORTIZATION_TYPE=2,(ACQUISITION_COST*LTV_RATIO)/DEBT_TENOR_MONTHS,DEBT_AMORTIZATION_TYPE=3,IF(D7=DEBT_TENOR_MONTHS,ACQUISITION_COST*LTV_RATIO,0)))</f>
        <v>48402.312534929108</v>
      </c>
      <c r="E30" s="42" cm="1">
        <f t="array" ref="E30">IF(E7&gt;DEBT_TENOR_MONTHS,0,_xlfn.IFS(DEBT_AMORTIZATION_TYPE=1,MAX(0,ABS(PMT(DEBT_INTEREST_RATE/12,DEBT_TENOR_MONTHS,-(ACQUISITION_COST*LTV_RATIO)))-E29),DEBT_AMORTIZATION_TYPE=2,(ACQUISITION_COST*LTV_RATIO)/DEBT_TENOR_MONTHS,DEBT_AMORTIZATION_TYPE=3,IF(E7=DEBT_TENOR_MONTHS,ACQUISITION_COST*LTV_RATIO,0)))</f>
        <v>48583.821206935092</v>
      </c>
      <c r="F30" s="42" cm="1">
        <f t="array" ref="F30">IF(F7&gt;DEBT_TENOR_MONTHS,0,_xlfn.IFS(DEBT_AMORTIZATION_TYPE=1,MAX(0,ABS(PMT(DEBT_INTEREST_RATE/12,DEBT_TENOR_MONTHS,-(ACQUISITION_COST*LTV_RATIO)))-F29),DEBT_AMORTIZATION_TYPE=2,(ACQUISITION_COST*LTV_RATIO)/DEBT_TENOR_MONTHS,DEBT_AMORTIZATION_TYPE=3,IF(F7=DEBT_TENOR_MONTHS,ACQUISITION_COST*LTV_RATIO,0)))</f>
        <v>48766.010536461101</v>
      </c>
      <c r="G30" s="42" cm="1">
        <f t="array" ref="G30">IF(G7&gt;DEBT_TENOR_MONTHS,0,_xlfn.IFS(DEBT_AMORTIZATION_TYPE=1,MAX(0,ABS(PMT(DEBT_INTEREST_RATE/12,DEBT_TENOR_MONTHS,-(ACQUISITION_COST*LTV_RATIO)))-G29),DEBT_AMORTIZATION_TYPE=2,(ACQUISITION_COST*LTV_RATIO)/DEBT_TENOR_MONTHS,DEBT_AMORTIZATION_TYPE=3,IF(G7=DEBT_TENOR_MONTHS,ACQUISITION_COST*LTV_RATIO,0)))</f>
        <v>48948.88307597283</v>
      </c>
      <c r="H30" s="42" cm="1">
        <f t="array" ref="H30">IF(H7&gt;DEBT_TENOR_MONTHS,0,_xlfn.IFS(DEBT_AMORTIZATION_TYPE=1,MAX(0,ABS(PMT(DEBT_INTEREST_RATE/12,DEBT_TENOR_MONTHS,-(ACQUISITION_COST*LTV_RATIO)))-H29),DEBT_AMORTIZATION_TYPE=2,(ACQUISITION_COST*LTV_RATIO)/DEBT_TENOR_MONTHS,DEBT_AMORTIZATION_TYPE=3,IF(H7=DEBT_TENOR_MONTHS,ACQUISITION_COST*LTV_RATIO,0)))</f>
        <v>49132.44138750773</v>
      </c>
      <c r="I30" s="42" cm="1">
        <f t="array" ref="I30">IF(I7&gt;DEBT_TENOR_MONTHS,0,_xlfn.IFS(DEBT_AMORTIZATION_TYPE=1,MAX(0,ABS(PMT(DEBT_INTEREST_RATE/12,DEBT_TENOR_MONTHS,-(ACQUISITION_COST*LTV_RATIO)))-I29),DEBT_AMORTIZATION_TYPE=2,(ACQUISITION_COST*LTV_RATIO)/DEBT_TENOR_MONTHS,DEBT_AMORTIZATION_TYPE=3,IF(I7=DEBT_TENOR_MONTHS,ACQUISITION_COST*LTV_RATIO,0)))</f>
        <v>49316.688042710884</v>
      </c>
      <c r="J30" s="42" cm="1">
        <f t="array" ref="J30">IF(J7&gt;DEBT_TENOR_MONTHS,0,_xlfn.IFS(DEBT_AMORTIZATION_TYPE=1,MAX(0,ABS(PMT(DEBT_INTEREST_RATE/12,DEBT_TENOR_MONTHS,-(ACQUISITION_COST*LTV_RATIO)))-J29),DEBT_AMORTIZATION_TYPE=2,(ACQUISITION_COST*LTV_RATIO)/DEBT_TENOR_MONTHS,DEBT_AMORTIZATION_TYPE=3,IF(J7=DEBT_TENOR_MONTHS,ACQUISITION_COST*LTV_RATIO,0)))</f>
        <v>49501.625622871048</v>
      </c>
      <c r="K30" s="42" cm="1">
        <f t="array" ref="K30">IF(K7&gt;DEBT_TENOR_MONTHS,0,_xlfn.IFS(DEBT_AMORTIZATION_TYPE=1,MAX(0,ABS(PMT(DEBT_INTEREST_RATE/12,DEBT_TENOR_MONTHS,-(ACQUISITION_COST*LTV_RATIO)))-K29),DEBT_AMORTIZATION_TYPE=2,(ACQUISITION_COST*LTV_RATIO)/DEBT_TENOR_MONTHS,DEBT_AMORTIZATION_TYPE=3,IF(K7=DEBT_TENOR_MONTHS,ACQUISITION_COST*LTV_RATIO,0)))</f>
        <v>49687.256718956814</v>
      </c>
      <c r="L30" s="42" cm="1">
        <f t="array" ref="L30">IF(L7&gt;DEBT_TENOR_MONTHS,0,_xlfn.IFS(DEBT_AMORTIZATION_TYPE=1,MAX(0,ABS(PMT(DEBT_INTEREST_RATE/12,DEBT_TENOR_MONTHS,-(ACQUISITION_COST*LTV_RATIO)))-L29),DEBT_AMORTIZATION_TYPE=2,(ACQUISITION_COST*LTV_RATIO)/DEBT_TENOR_MONTHS,DEBT_AMORTIZATION_TYPE=3,IF(L7=DEBT_TENOR_MONTHS,ACQUISITION_COST*LTV_RATIO,0)))</f>
        <v>49873.583931652902</v>
      </c>
      <c r="M30" s="42" cm="1">
        <f t="array" ref="M30">IF(M7&gt;DEBT_TENOR_MONTHS,0,_xlfn.IFS(DEBT_AMORTIZATION_TYPE=1,MAX(0,ABS(PMT(DEBT_INTEREST_RATE/12,DEBT_TENOR_MONTHS,-(ACQUISITION_COST*LTV_RATIO)))-M29),DEBT_AMORTIZATION_TYPE=2,(ACQUISITION_COST*LTV_RATIO)/DEBT_TENOR_MONTHS,DEBT_AMORTIZATION_TYPE=3,IF(M7=DEBT_TENOR_MONTHS,ACQUISITION_COST*LTV_RATIO,0)))</f>
        <v>50060.609871396598</v>
      </c>
      <c r="N30" s="42" cm="1">
        <f t="array" ref="N30">IF(N7&gt;DEBT_TENOR_MONTHS,0,_xlfn.IFS(DEBT_AMORTIZATION_TYPE=1,MAX(0,ABS(PMT(DEBT_INTEREST_RATE/12,DEBT_TENOR_MONTHS,-(ACQUISITION_COST*LTV_RATIO)))-N29),DEBT_AMORTIZATION_TYPE=2,(ACQUISITION_COST*LTV_RATIO)/DEBT_TENOR_MONTHS,DEBT_AMORTIZATION_TYPE=3,IF(N7=DEBT_TENOR_MONTHS,ACQUISITION_COST*LTV_RATIO,0)))</f>
        <v>50248.337158414339</v>
      </c>
      <c r="O30" s="42" cm="1">
        <f t="array" ref="O30">IF(O7&gt;DEBT_TENOR_MONTHS,0,_xlfn.IFS(DEBT_AMORTIZATION_TYPE=1,MAX(0,ABS(PMT(DEBT_INTEREST_RATE/12,DEBT_TENOR_MONTHS,-(ACQUISITION_COST*LTV_RATIO)))-O29),DEBT_AMORTIZATION_TYPE=2,(ACQUISITION_COST*LTV_RATIO)/DEBT_TENOR_MONTHS,DEBT_AMORTIZATION_TYPE=3,IF(O7=DEBT_TENOR_MONTHS,ACQUISITION_COST*LTV_RATIO,0)))</f>
        <v>50436.768422758396</v>
      </c>
      <c r="P30" s="42" cm="1">
        <f t="array" ref="P30">IF(P7&gt;DEBT_TENOR_MONTHS,0,_xlfn.IFS(DEBT_AMORTIZATION_TYPE=1,MAX(0,ABS(PMT(DEBT_INTEREST_RATE/12,DEBT_TENOR_MONTHS,-(ACQUISITION_COST*LTV_RATIO)))-P29),DEBT_AMORTIZATION_TYPE=2,(ACQUISITION_COST*LTV_RATIO)/DEBT_TENOR_MONTHS,DEBT_AMORTIZATION_TYPE=3,IF(P7=DEBT_TENOR_MONTHS,ACQUISITION_COST*LTV_RATIO,0)))</f>
        <v>50625.906304343735</v>
      </c>
      <c r="Q30" s="42" cm="1">
        <f t="array" ref="Q30">IF(Q7&gt;DEBT_TENOR_MONTHS,0,_xlfn.IFS(DEBT_AMORTIZATION_TYPE=1,MAX(0,ABS(PMT(DEBT_INTEREST_RATE/12,DEBT_TENOR_MONTHS,-(ACQUISITION_COST*LTV_RATIO)))-Q29),DEBT_AMORTIZATION_TYPE=2,(ACQUISITION_COST*LTV_RATIO)/DEBT_TENOR_MONTHS,DEBT_AMORTIZATION_TYPE=3,IF(Q7=DEBT_TENOR_MONTHS,ACQUISITION_COST*LTV_RATIO,0)))</f>
        <v>50815.753452985024</v>
      </c>
      <c r="R30" s="42" cm="1">
        <f t="array" ref="R30">IF(R7&gt;DEBT_TENOR_MONTHS,0,_xlfn.IFS(DEBT_AMORTIZATION_TYPE=1,MAX(0,ABS(PMT(DEBT_INTEREST_RATE/12,DEBT_TENOR_MONTHS,-(ACQUISITION_COST*LTV_RATIO)))-R29),DEBT_AMORTIZATION_TYPE=2,(ACQUISITION_COST*LTV_RATIO)/DEBT_TENOR_MONTHS,DEBT_AMORTIZATION_TYPE=3,IF(R7=DEBT_TENOR_MONTHS,ACQUISITION_COST*LTV_RATIO,0)))</f>
        <v>51006.312528433715</v>
      </c>
      <c r="S30" s="42" cm="1">
        <f t="array" ref="S30">IF(S7&gt;DEBT_TENOR_MONTHS,0,_xlfn.IFS(DEBT_AMORTIZATION_TYPE=1,MAX(0,ABS(PMT(DEBT_INTEREST_RATE/12,DEBT_TENOR_MONTHS,-(ACQUISITION_COST*LTV_RATIO)))-S29),DEBT_AMORTIZATION_TYPE=2,(ACQUISITION_COST*LTV_RATIO)/DEBT_TENOR_MONTHS,DEBT_AMORTIZATION_TYPE=3,IF(S7=DEBT_TENOR_MONTHS,ACQUISITION_COST*LTV_RATIO,0)))</f>
        <v>51197.586200415346</v>
      </c>
      <c r="T30" s="42" cm="1">
        <f t="array" ref="T30">IF(T7&gt;DEBT_TENOR_MONTHS,0,_xlfn.IFS(DEBT_AMORTIZATION_TYPE=1,MAX(0,ABS(PMT(DEBT_INTEREST_RATE/12,DEBT_TENOR_MONTHS,-(ACQUISITION_COST*LTV_RATIO)))-T29),DEBT_AMORTIZATION_TYPE=2,(ACQUISITION_COST*LTV_RATIO)/DEBT_TENOR_MONTHS,DEBT_AMORTIZATION_TYPE=3,IF(T7=DEBT_TENOR_MONTHS,ACQUISITION_COST*LTV_RATIO,0)))</f>
        <v>51389.577148666904</v>
      </c>
      <c r="U30" s="42" cm="1">
        <f t="array" ref="U30">IF(U7&gt;DEBT_TENOR_MONTHS,0,_xlfn.IFS(DEBT_AMORTIZATION_TYPE=1,MAX(0,ABS(PMT(DEBT_INTEREST_RATE/12,DEBT_TENOR_MONTHS,-(ACQUISITION_COST*LTV_RATIO)))-U29),DEBT_AMORTIZATION_TYPE=2,(ACQUISITION_COST*LTV_RATIO)/DEBT_TENOR_MONTHS,DEBT_AMORTIZATION_TYPE=3,IF(U7=DEBT_TENOR_MONTHS,ACQUISITION_COST*LTV_RATIO,0)))</f>
        <v>51582.288062974403</v>
      </c>
      <c r="V30" s="42" cm="1">
        <f t="array" ref="V30">IF(V7&gt;DEBT_TENOR_MONTHS,0,_xlfn.IFS(DEBT_AMORTIZATION_TYPE=1,MAX(0,ABS(PMT(DEBT_INTEREST_RATE/12,DEBT_TENOR_MONTHS,-(ACQUISITION_COST*LTV_RATIO)))-V29),DEBT_AMORTIZATION_TYPE=2,(ACQUISITION_COST*LTV_RATIO)/DEBT_TENOR_MONTHS,DEBT_AMORTIZATION_TYPE=3,IF(V7=DEBT_TENOR_MONTHS,ACQUISITION_COST*LTV_RATIO,0)))</f>
        <v>51775.721643210556</v>
      </c>
      <c r="W30" s="42" cm="1">
        <f t="array" ref="W30">IF(W7&gt;DEBT_TENOR_MONTHS,0,_xlfn.IFS(DEBT_AMORTIZATION_TYPE=1,MAX(0,ABS(PMT(DEBT_INTEREST_RATE/12,DEBT_TENOR_MONTHS,-(ACQUISITION_COST*LTV_RATIO)))-W29),DEBT_AMORTIZATION_TYPE=2,(ACQUISITION_COST*LTV_RATIO)/DEBT_TENOR_MONTHS,DEBT_AMORTIZATION_TYPE=3,IF(W7=DEBT_TENOR_MONTHS,ACQUISITION_COST*LTV_RATIO,0)))</f>
        <v>51969.880599372598</v>
      </c>
      <c r="X30" s="42" cm="1">
        <f t="array" ref="X30">IF(X7&gt;DEBT_TENOR_MONTHS,0,_xlfn.IFS(DEBT_AMORTIZATION_TYPE=1,MAX(0,ABS(PMT(DEBT_INTEREST_RATE/12,DEBT_TENOR_MONTHS,-(ACQUISITION_COST*LTV_RATIO)))-X29),DEBT_AMORTIZATION_TYPE=2,(ACQUISITION_COST*LTV_RATIO)/DEBT_TENOR_MONTHS,DEBT_AMORTIZATION_TYPE=3,IF(X7=DEBT_TENOR_MONTHS,ACQUISITION_COST*LTV_RATIO,0)))</f>
        <v>52164.767651620241</v>
      </c>
      <c r="Y30" s="42" cm="1">
        <f t="array" ref="Y30">IF(Y7&gt;DEBT_TENOR_MONTHS,0,_xlfn.IFS(DEBT_AMORTIZATION_TYPE=1,MAX(0,ABS(PMT(DEBT_INTEREST_RATE/12,DEBT_TENOR_MONTHS,-(ACQUISITION_COST*LTV_RATIO)))-Y29),DEBT_AMORTIZATION_TYPE=2,(ACQUISITION_COST*LTV_RATIO)/DEBT_TENOR_MONTHS,DEBT_AMORTIZATION_TYPE=3,IF(Y7=DEBT_TENOR_MONTHS,ACQUISITION_COST*LTV_RATIO,0)))</f>
        <v>52360.385530313819</v>
      </c>
      <c r="Z30" s="42" cm="1">
        <f t="array" ref="Z30">IF(Z7&gt;DEBT_TENOR_MONTHS,0,_xlfn.IFS(DEBT_AMORTIZATION_TYPE=1,MAX(0,ABS(PMT(DEBT_INTEREST_RATE/12,DEBT_TENOR_MONTHS,-(ACQUISITION_COST*LTV_RATIO)))-Z29),DEBT_AMORTIZATION_TYPE=2,(ACQUISITION_COST*LTV_RATIO)/DEBT_TENOR_MONTHS,DEBT_AMORTIZATION_TYPE=3,IF(Z7=DEBT_TENOR_MONTHS,ACQUISITION_COST*LTV_RATIO,0)))</f>
        <v>52556.736976052496</v>
      </c>
      <c r="AA30" s="42" cm="1">
        <f t="array" ref="AA30">IF(AA7&gt;DEBT_TENOR_MONTHS,0,_xlfn.IFS(DEBT_AMORTIZATION_TYPE=1,MAX(0,ABS(PMT(DEBT_INTEREST_RATE/12,DEBT_TENOR_MONTHS,-(ACQUISITION_COST*LTV_RATIO)))-AA29),DEBT_AMORTIZATION_TYPE=2,(ACQUISITION_COST*LTV_RATIO)/DEBT_TENOR_MONTHS,DEBT_AMORTIZATION_TYPE=3,IF(AA7=DEBT_TENOR_MONTHS,ACQUISITION_COST*LTV_RATIO,0)))</f>
        <v>52753.824739712691</v>
      </c>
      <c r="AB30" s="42" cm="1">
        <f t="array" ref="AB30">IF(AB7&gt;DEBT_TENOR_MONTHS,0,_xlfn.IFS(DEBT_AMORTIZATION_TYPE=1,MAX(0,ABS(PMT(DEBT_INTEREST_RATE/12,DEBT_TENOR_MONTHS,-(ACQUISITION_COST*LTV_RATIO)))-AB29),DEBT_AMORTIZATION_TYPE=2,(ACQUISITION_COST*LTV_RATIO)/DEBT_TENOR_MONTHS,DEBT_AMORTIZATION_TYPE=3,IF(AB7=DEBT_TENOR_MONTHS,ACQUISITION_COST*LTV_RATIO,0)))</f>
        <v>52951.651582486615</v>
      </c>
      <c r="AC30" s="42" cm="1">
        <f t="array" ref="AC30">IF(AC7&gt;DEBT_TENOR_MONTHS,0,_xlfn.IFS(DEBT_AMORTIZATION_TYPE=1,MAX(0,ABS(PMT(DEBT_INTEREST_RATE/12,DEBT_TENOR_MONTHS,-(ACQUISITION_COST*LTV_RATIO)))-AC29),DEBT_AMORTIZATION_TYPE=2,(ACQUISITION_COST*LTV_RATIO)/DEBT_TENOR_MONTHS,DEBT_AMORTIZATION_TYPE=3,IF(AC7=DEBT_TENOR_MONTHS,ACQUISITION_COST*LTV_RATIO,0)))</f>
        <v>53150.220275920939</v>
      </c>
      <c r="AD30" s="42" cm="1">
        <f t="array" ref="AD30">IF(AD7&gt;DEBT_TENOR_MONTHS,0,_xlfn.IFS(DEBT_AMORTIZATION_TYPE=1,MAX(0,ABS(PMT(DEBT_INTEREST_RATE/12,DEBT_TENOR_MONTHS,-(ACQUISITION_COST*LTV_RATIO)))-AD29),DEBT_AMORTIZATION_TYPE=2,(ACQUISITION_COST*LTV_RATIO)/DEBT_TENOR_MONTHS,DEBT_AMORTIZATION_TYPE=3,IF(AD7=DEBT_TENOR_MONTHS,ACQUISITION_COST*LTV_RATIO,0)))</f>
        <v>53349.533601955642</v>
      </c>
      <c r="AE30" s="42" cm="1">
        <f t="array" ref="AE30">IF(AE7&gt;DEBT_TENOR_MONTHS,0,_xlfn.IFS(DEBT_AMORTIZATION_TYPE=1,MAX(0,ABS(PMT(DEBT_INTEREST_RATE/12,DEBT_TENOR_MONTHS,-(ACQUISITION_COST*LTV_RATIO)))-AE29),DEBT_AMORTIZATION_TYPE=2,(ACQUISITION_COST*LTV_RATIO)/DEBT_TENOR_MONTHS,DEBT_AMORTIZATION_TYPE=3,IF(AE7=DEBT_TENOR_MONTHS,ACQUISITION_COST*LTV_RATIO,0)))</f>
        <v>53549.59435296298</v>
      </c>
      <c r="AF30" s="42" cm="1">
        <f t="array" ref="AF30">IF(AF7&gt;DEBT_TENOR_MONTHS,0,_xlfn.IFS(DEBT_AMORTIZATION_TYPE=1,MAX(0,ABS(PMT(DEBT_INTEREST_RATE/12,DEBT_TENOR_MONTHS,-(ACQUISITION_COST*LTV_RATIO)))-AF29),DEBT_AMORTIZATION_TYPE=2,(ACQUISITION_COST*LTV_RATIO)/DEBT_TENOR_MONTHS,DEBT_AMORTIZATION_TYPE=3,IF(AF7=DEBT_TENOR_MONTHS,ACQUISITION_COST*LTV_RATIO,0)))</f>
        <v>53750.405331786591</v>
      </c>
      <c r="AG30" s="42" cm="1">
        <f t="array" ref="AG30">IF(AG7&gt;DEBT_TENOR_MONTHS,0,_xlfn.IFS(DEBT_AMORTIZATION_TYPE=1,MAX(0,ABS(PMT(DEBT_INTEREST_RATE/12,DEBT_TENOR_MONTHS,-(ACQUISITION_COST*LTV_RATIO)))-AG29),DEBT_AMORTIZATION_TYPE=2,(ACQUISITION_COST*LTV_RATIO)/DEBT_TENOR_MONTHS,DEBT_AMORTIZATION_TYPE=3,IF(AG7=DEBT_TENOR_MONTHS,ACQUISITION_COST*LTV_RATIO,0)))</f>
        <v>53951.96935178079</v>
      </c>
      <c r="AH30" s="42" cm="1">
        <f t="array" ref="AH30">IF(AH7&gt;DEBT_TENOR_MONTHS,0,_xlfn.IFS(DEBT_AMORTIZATION_TYPE=1,MAX(0,ABS(PMT(DEBT_INTEREST_RATE/12,DEBT_TENOR_MONTHS,-(ACQUISITION_COST*LTV_RATIO)))-AH29),DEBT_AMORTIZATION_TYPE=2,(ACQUISITION_COST*LTV_RATIO)/DEBT_TENOR_MONTHS,DEBT_AMORTIZATION_TYPE=3,IF(AH7=DEBT_TENOR_MONTHS,ACQUISITION_COST*LTV_RATIO,0)))</f>
        <v>54154.289236849967</v>
      </c>
      <c r="AI30" s="42" cm="1">
        <f t="array" ref="AI30">IF(AI7&gt;DEBT_TENOR_MONTHS,0,_xlfn.IFS(DEBT_AMORTIZATION_TYPE=1,MAX(0,ABS(PMT(DEBT_INTEREST_RATE/12,DEBT_TENOR_MONTHS,-(ACQUISITION_COST*LTV_RATIO)))-AI29),DEBT_AMORTIZATION_TYPE=2,(ACQUISITION_COST*LTV_RATIO)/DEBT_TENOR_MONTHS,DEBT_AMORTIZATION_TYPE=3,IF(AI7=DEBT_TENOR_MONTHS,ACQUISITION_COST*LTV_RATIO,0)))</f>
        <v>54357.367821488151</v>
      </c>
      <c r="AJ30" s="42" cm="1">
        <f t="array" ref="AJ30">IF(AJ7&gt;DEBT_TENOR_MONTHS,0,_xlfn.IFS(DEBT_AMORTIZATION_TYPE=1,MAX(0,ABS(PMT(DEBT_INTEREST_RATE/12,DEBT_TENOR_MONTHS,-(ACQUISITION_COST*LTV_RATIO)))-AJ29),DEBT_AMORTIZATION_TYPE=2,(ACQUISITION_COST*LTV_RATIO)/DEBT_TENOR_MONTHS,DEBT_AMORTIZATION_TYPE=3,IF(AJ7=DEBT_TENOR_MONTHS,ACQUISITION_COST*LTV_RATIO,0)))</f>
        <v>54561.207950818731</v>
      </c>
      <c r="AK30" s="42" cm="1">
        <f t="array" ref="AK30">IF(AK7&gt;DEBT_TENOR_MONTHS,0,_xlfn.IFS(DEBT_AMORTIZATION_TYPE=1,MAX(0,ABS(PMT(DEBT_INTEREST_RATE/12,DEBT_TENOR_MONTHS,-(ACQUISITION_COST*LTV_RATIO)))-AK29),DEBT_AMORTIZATION_TYPE=2,(ACQUISITION_COST*LTV_RATIO)/DEBT_TENOR_MONTHS,DEBT_AMORTIZATION_TYPE=3,IF(AK7=DEBT_TENOR_MONTHS,ACQUISITION_COST*LTV_RATIO,0)))</f>
        <v>54765.812480634304</v>
      </c>
      <c r="AL30" s="42" cm="1">
        <f t="array" ref="AL30">IF(AL7&gt;DEBT_TENOR_MONTHS,0,_xlfn.IFS(DEBT_AMORTIZATION_TYPE=1,MAX(0,ABS(PMT(DEBT_INTEREST_RATE/12,DEBT_TENOR_MONTHS,-(ACQUISITION_COST*LTV_RATIO)))-AL29),DEBT_AMORTIZATION_TYPE=2,(ACQUISITION_COST*LTV_RATIO)/DEBT_TENOR_MONTHS,DEBT_AMORTIZATION_TYPE=3,IF(AL7=DEBT_TENOR_MONTHS,ACQUISITION_COST*LTV_RATIO,0)))</f>
        <v>54971.184277436681</v>
      </c>
      <c r="AM30" s="42" cm="1">
        <f t="array" ref="AM30">IF(AM7&gt;DEBT_TENOR_MONTHS,0,_xlfn.IFS(DEBT_AMORTIZATION_TYPE=1,MAX(0,ABS(PMT(DEBT_INTEREST_RATE/12,DEBT_TENOR_MONTHS,-(ACQUISITION_COST*LTV_RATIO)))-AM29),DEBT_AMORTIZATION_TYPE=2,(ACQUISITION_COST*LTV_RATIO)/DEBT_TENOR_MONTHS,DEBT_AMORTIZATION_TYPE=3,IF(AM7=DEBT_TENOR_MONTHS,ACQUISITION_COST*LTV_RATIO,0)))</f>
        <v>55177.326218477072</v>
      </c>
      <c r="AN30" s="42" cm="1">
        <f t="array" ref="AN30">IF(AN7&gt;DEBT_TENOR_MONTHS,0,_xlfn.IFS(DEBT_AMORTIZATION_TYPE=1,MAX(0,ABS(PMT(DEBT_INTEREST_RATE/12,DEBT_TENOR_MONTHS,-(ACQUISITION_COST*LTV_RATIO)))-AN29),DEBT_AMORTIZATION_TYPE=2,(ACQUISITION_COST*LTV_RATIO)/DEBT_TENOR_MONTHS,DEBT_AMORTIZATION_TYPE=3,IF(AN7=DEBT_TENOR_MONTHS,ACQUISITION_COST*LTV_RATIO,0)))</f>
        <v>55384.241191796362</v>
      </c>
      <c r="AO30" s="42" cm="1">
        <f t="array" ref="AO30">IF(AO7&gt;DEBT_TENOR_MONTHS,0,_xlfn.IFS(DEBT_AMORTIZATION_TYPE=1,MAX(0,ABS(PMT(DEBT_INTEREST_RATE/12,DEBT_TENOR_MONTHS,-(ACQUISITION_COST*LTV_RATIO)))-AO29),DEBT_AMORTIZATION_TYPE=2,(ACQUISITION_COST*LTV_RATIO)/DEBT_TENOR_MONTHS,DEBT_AMORTIZATION_TYPE=3,IF(AO7=DEBT_TENOR_MONTHS,ACQUISITION_COST*LTV_RATIO,0)))</f>
        <v>55591.932096265598</v>
      </c>
      <c r="AP30" s="42" cm="1">
        <f t="array" ref="AP30">IF(AP7&gt;DEBT_TENOR_MONTHS,0,_xlfn.IFS(DEBT_AMORTIZATION_TYPE=1,MAX(0,ABS(PMT(DEBT_INTEREST_RATE/12,DEBT_TENOR_MONTHS,-(ACQUISITION_COST*LTV_RATIO)))-AP29),DEBT_AMORTIZATION_TYPE=2,(ACQUISITION_COST*LTV_RATIO)/DEBT_TENOR_MONTHS,DEBT_AMORTIZATION_TYPE=3,IF(AP7=DEBT_TENOR_MONTHS,ACQUISITION_COST*LTV_RATIO,0)))</f>
        <v>55800.40184162659</v>
      </c>
      <c r="AQ30" s="42" cm="1">
        <f t="array" ref="AQ30">IF(AQ7&gt;DEBT_TENOR_MONTHS,0,_xlfn.IFS(DEBT_AMORTIZATION_TYPE=1,MAX(0,ABS(PMT(DEBT_INTEREST_RATE/12,DEBT_TENOR_MONTHS,-(ACQUISITION_COST*LTV_RATIO)))-AQ29),DEBT_AMORTIZATION_TYPE=2,(ACQUISITION_COST*LTV_RATIO)/DEBT_TENOR_MONTHS,DEBT_AMORTIZATION_TYPE=3,IF(AQ7=DEBT_TENOR_MONTHS,ACQUISITION_COST*LTV_RATIO,0)))</f>
        <v>56009.653348532695</v>
      </c>
      <c r="AR30" s="42" cm="1">
        <f t="array" ref="AR30">IF(AR7&gt;DEBT_TENOR_MONTHS,0,_xlfn.IFS(DEBT_AMORTIZATION_TYPE=1,MAX(0,ABS(PMT(DEBT_INTEREST_RATE/12,DEBT_TENOR_MONTHS,-(ACQUISITION_COST*LTV_RATIO)))-AR29),DEBT_AMORTIZATION_TYPE=2,(ACQUISITION_COST*LTV_RATIO)/DEBT_TENOR_MONTHS,DEBT_AMORTIZATION_TYPE=3,IF(AR7=DEBT_TENOR_MONTHS,ACQUISITION_COST*LTV_RATIO,0)))</f>
        <v>56219.689548589689</v>
      </c>
      <c r="AS30" s="42" cm="1">
        <f t="array" ref="AS30">IF(AS7&gt;DEBT_TENOR_MONTHS,0,_xlfn.IFS(DEBT_AMORTIZATION_TYPE=1,MAX(0,ABS(PMT(DEBT_INTEREST_RATE/12,DEBT_TENOR_MONTHS,-(ACQUISITION_COST*LTV_RATIO)))-AS29),DEBT_AMORTIZATION_TYPE=2,(ACQUISITION_COST*LTV_RATIO)/DEBT_TENOR_MONTHS,DEBT_AMORTIZATION_TYPE=3,IF(AS7=DEBT_TENOR_MONTHS,ACQUISITION_COST*LTV_RATIO,0)))</f>
        <v>56430.513384396902</v>
      </c>
      <c r="AT30" s="42" cm="1">
        <f t="array" ref="AT30">IF(AT7&gt;DEBT_TENOR_MONTHS,0,_xlfn.IFS(DEBT_AMORTIZATION_TYPE=1,MAX(0,ABS(PMT(DEBT_INTEREST_RATE/12,DEBT_TENOR_MONTHS,-(ACQUISITION_COST*LTV_RATIO)))-AT29),DEBT_AMORTIZATION_TYPE=2,(ACQUISITION_COST*LTV_RATIO)/DEBT_TENOR_MONTHS,DEBT_AMORTIZATION_TYPE=3,IF(AT7=DEBT_TENOR_MONTHS,ACQUISITION_COST*LTV_RATIO,0)))</f>
        <v>56642.12780958839</v>
      </c>
      <c r="AU30" s="42" cm="1">
        <f t="array" ref="AU30">IF(AU7&gt;DEBT_TENOR_MONTHS,0,_xlfn.IFS(DEBT_AMORTIZATION_TYPE=1,MAX(0,ABS(PMT(DEBT_INTEREST_RATE/12,DEBT_TENOR_MONTHS,-(ACQUISITION_COST*LTV_RATIO)))-AU29),DEBT_AMORTIZATION_TYPE=2,(ACQUISITION_COST*LTV_RATIO)/DEBT_TENOR_MONTHS,DEBT_AMORTIZATION_TYPE=3,IF(AU7=DEBT_TENOR_MONTHS,ACQUISITION_COST*LTV_RATIO,0)))</f>
        <v>56854.535788874346</v>
      </c>
      <c r="AV30" s="42" cm="1">
        <f t="array" ref="AV30">IF(AV7&gt;DEBT_TENOR_MONTHS,0,_xlfn.IFS(DEBT_AMORTIZATION_TYPE=1,MAX(0,ABS(PMT(DEBT_INTEREST_RATE/12,DEBT_TENOR_MONTHS,-(ACQUISITION_COST*LTV_RATIO)))-AV29),DEBT_AMORTIZATION_TYPE=2,(ACQUISITION_COST*LTV_RATIO)/DEBT_TENOR_MONTHS,DEBT_AMORTIZATION_TYPE=3,IF(AV7=DEBT_TENOR_MONTHS,ACQUISITION_COST*LTV_RATIO,0)))</f>
        <v>57067.740298082623</v>
      </c>
      <c r="AW30" s="42" cm="1">
        <f t="array" ref="AW30">IF(AW7&gt;DEBT_TENOR_MONTHS,0,_xlfn.IFS(DEBT_AMORTIZATION_TYPE=1,MAX(0,ABS(PMT(DEBT_INTEREST_RATE/12,DEBT_TENOR_MONTHS,-(ACQUISITION_COST*LTV_RATIO)))-AW29),DEBT_AMORTIZATION_TYPE=2,(ACQUISITION_COST*LTV_RATIO)/DEBT_TENOR_MONTHS,DEBT_AMORTIZATION_TYPE=3,IF(AW7=DEBT_TENOR_MONTHS,ACQUISITION_COST*LTV_RATIO,0)))</f>
        <v>57281.74432420043</v>
      </c>
      <c r="AX30" s="42" cm="1">
        <f t="array" ref="AX30">IF(AX7&gt;DEBT_TENOR_MONTHS,0,_xlfn.IFS(DEBT_AMORTIZATION_TYPE=1,MAX(0,ABS(PMT(DEBT_INTEREST_RATE/12,DEBT_TENOR_MONTHS,-(ACQUISITION_COST*LTV_RATIO)))-AX29),DEBT_AMORTIZATION_TYPE=2,(ACQUISITION_COST*LTV_RATIO)/DEBT_TENOR_MONTHS,DEBT_AMORTIZATION_TYPE=3,IF(AX7=DEBT_TENOR_MONTHS,ACQUISITION_COST*LTV_RATIO,0)))</f>
        <v>57496.550865416182</v>
      </c>
      <c r="AY30" s="42" cm="1">
        <f t="array" ref="AY30">IF(AY7&gt;DEBT_TENOR_MONTHS,0,_xlfn.IFS(DEBT_AMORTIZATION_TYPE=1,MAX(0,ABS(PMT(DEBT_INTEREST_RATE/12,DEBT_TENOR_MONTHS,-(ACQUISITION_COST*LTV_RATIO)))-AY29),DEBT_AMORTIZATION_TYPE=2,(ACQUISITION_COST*LTV_RATIO)/DEBT_TENOR_MONTHS,DEBT_AMORTIZATION_TYPE=3,IF(AY7=DEBT_TENOR_MONTHS,ACQUISITION_COST*LTV_RATIO,0)))</f>
        <v>57712.162931161496</v>
      </c>
      <c r="AZ30" s="42" cm="1">
        <f t="array" ref="AZ30">IF(AZ7&gt;DEBT_TENOR_MONTHS,0,_xlfn.IFS(DEBT_AMORTIZATION_TYPE=1,MAX(0,ABS(PMT(DEBT_INTEREST_RATE/12,DEBT_TENOR_MONTHS,-(ACQUISITION_COST*LTV_RATIO)))-AZ29),DEBT_AMORTIZATION_TYPE=2,(ACQUISITION_COST*LTV_RATIO)/DEBT_TENOR_MONTHS,DEBT_AMORTIZATION_TYPE=3,IF(AZ7=DEBT_TENOR_MONTHS,ACQUISITION_COST*LTV_RATIO,0)))</f>
        <v>57928.583542153348</v>
      </c>
      <c r="BA30" s="42" cm="1">
        <f t="array" ref="BA30">IF(BA7&gt;DEBT_TENOR_MONTHS,0,_xlfn.IFS(DEBT_AMORTIZATION_TYPE=1,MAX(0,ABS(PMT(DEBT_INTEREST_RATE/12,DEBT_TENOR_MONTHS,-(ACQUISITION_COST*LTV_RATIO)))-BA29),DEBT_AMORTIZATION_TYPE=2,(ACQUISITION_COST*LTV_RATIO)/DEBT_TENOR_MONTHS,DEBT_AMORTIZATION_TYPE=3,IF(BA7=DEBT_TENOR_MONTHS,ACQUISITION_COST*LTV_RATIO,0)))</f>
        <v>58145.815730436429</v>
      </c>
      <c r="BB30" s="42" cm="1">
        <f t="array" ref="BB30">IF(BB7&gt;DEBT_TENOR_MONTHS,0,_xlfn.IFS(DEBT_AMORTIZATION_TYPE=1,MAX(0,ABS(PMT(DEBT_INTEREST_RATE/12,DEBT_TENOR_MONTHS,-(ACQUISITION_COST*LTV_RATIO)))-BB29),DEBT_AMORTIZATION_TYPE=2,(ACQUISITION_COST*LTV_RATIO)/DEBT_TENOR_MONTHS,DEBT_AMORTIZATION_TYPE=3,IF(BB7=DEBT_TENOR_MONTHS,ACQUISITION_COST*LTV_RATIO,0)))</f>
        <v>58363.862539425565</v>
      </c>
      <c r="BC30" s="42" cm="1">
        <f t="array" ref="BC30">IF(BC7&gt;DEBT_TENOR_MONTHS,0,_xlfn.IFS(DEBT_AMORTIZATION_TYPE=1,MAX(0,ABS(PMT(DEBT_INTEREST_RATE/12,DEBT_TENOR_MONTHS,-(ACQUISITION_COST*LTV_RATIO)))-BC29),DEBT_AMORTIZATION_TYPE=2,(ACQUISITION_COST*LTV_RATIO)/DEBT_TENOR_MONTHS,DEBT_AMORTIZATION_TYPE=3,IF(BC7=DEBT_TENOR_MONTHS,ACQUISITION_COST*LTV_RATIO,0)))</f>
        <v>58582.727023948406</v>
      </c>
      <c r="BD30" s="42" cm="1">
        <f t="array" ref="BD30">IF(BD7&gt;DEBT_TENOR_MONTHS,0,_xlfn.IFS(DEBT_AMORTIZATION_TYPE=1,MAX(0,ABS(PMT(DEBT_INTEREST_RATE/12,DEBT_TENOR_MONTHS,-(ACQUISITION_COST*LTV_RATIO)))-BD29),DEBT_AMORTIZATION_TYPE=2,(ACQUISITION_COST*LTV_RATIO)/DEBT_TENOR_MONTHS,DEBT_AMORTIZATION_TYPE=3,IF(BD7=DEBT_TENOR_MONTHS,ACQUISITION_COST*LTV_RATIO,0)))</f>
        <v>58802.412250288216</v>
      </c>
      <c r="BE30" s="42" cm="1">
        <f t="array" ref="BE30">IF(BE7&gt;DEBT_TENOR_MONTHS,0,_xlfn.IFS(DEBT_AMORTIZATION_TYPE=1,MAX(0,ABS(PMT(DEBT_INTEREST_RATE/12,DEBT_TENOR_MONTHS,-(ACQUISITION_COST*LTV_RATIO)))-BE29),DEBT_AMORTIZATION_TYPE=2,(ACQUISITION_COST*LTV_RATIO)/DEBT_TENOR_MONTHS,DEBT_AMORTIZATION_TYPE=3,IF(BE7=DEBT_TENOR_MONTHS,ACQUISITION_COST*LTV_RATIO,0)))</f>
        <v>59022.921296226799</v>
      </c>
      <c r="BF30" s="42" cm="1">
        <f t="array" ref="BF30">IF(BF7&gt;DEBT_TENOR_MONTHS,0,_xlfn.IFS(DEBT_AMORTIZATION_TYPE=1,MAX(0,ABS(PMT(DEBT_INTEREST_RATE/12,DEBT_TENOR_MONTHS,-(ACQUISITION_COST*LTV_RATIO)))-BF29),DEBT_AMORTIZATION_TYPE=2,(ACQUISITION_COST*LTV_RATIO)/DEBT_TENOR_MONTHS,DEBT_AMORTIZATION_TYPE=3,IF(BF7=DEBT_TENOR_MONTHS,ACQUISITION_COST*LTV_RATIO,0)))</f>
        <v>59244.257251087649</v>
      </c>
      <c r="BG30" s="42" cm="1">
        <f t="array" ref="BG30">IF(BG7&gt;DEBT_TENOR_MONTHS,0,_xlfn.IFS(DEBT_AMORTIZATION_TYPE=1,MAX(0,ABS(PMT(DEBT_INTEREST_RATE/12,DEBT_TENOR_MONTHS,-(ACQUISITION_COST*LTV_RATIO)))-BG29),DEBT_AMORTIZATION_TYPE=2,(ACQUISITION_COST*LTV_RATIO)/DEBT_TENOR_MONTHS,DEBT_AMORTIZATION_TYPE=3,IF(BG7=DEBT_TENOR_MONTHS,ACQUISITION_COST*LTV_RATIO,0)))</f>
        <v>59466.423215779228</v>
      </c>
      <c r="BH30" s="42" cm="1">
        <f t="array" ref="BH30">IF(BH7&gt;DEBT_TENOR_MONTHS,0,_xlfn.IFS(DEBT_AMORTIZATION_TYPE=1,MAX(0,ABS(PMT(DEBT_INTEREST_RATE/12,DEBT_TENOR_MONTHS,-(ACQUISITION_COST*LTV_RATIO)))-BH29),DEBT_AMORTIZATION_TYPE=2,(ACQUISITION_COST*LTV_RATIO)/DEBT_TENOR_MONTHS,DEBT_AMORTIZATION_TYPE=3,IF(BH7=DEBT_TENOR_MONTHS,ACQUISITION_COST*LTV_RATIO,0)))</f>
        <v>59689.4223028384</v>
      </c>
      <c r="BI30" s="42" cm="1">
        <f t="array" ref="BI30">IF(BI7&gt;DEBT_TENOR_MONTHS,0,_xlfn.IFS(DEBT_AMORTIZATION_TYPE=1,MAX(0,ABS(PMT(DEBT_INTEREST_RATE/12,DEBT_TENOR_MONTHS,-(ACQUISITION_COST*LTV_RATIO)))-BI29),DEBT_AMORTIZATION_TYPE=2,(ACQUISITION_COST*LTV_RATIO)/DEBT_TENOR_MONTHS,DEBT_AMORTIZATION_TYPE=3,IF(BI7=DEBT_TENOR_MONTHS,ACQUISITION_COST*LTV_RATIO,0)))</f>
        <v>59913.257636474038</v>
      </c>
      <c r="BJ30" s="42" cm="1">
        <f t="array" ref="BJ30">IF(BJ7&gt;DEBT_TENOR_MONTHS,0,_xlfn.IFS(DEBT_AMORTIZATION_TYPE=1,MAX(0,ABS(PMT(DEBT_INTEREST_RATE/12,DEBT_TENOR_MONTHS,-(ACQUISITION_COST*LTV_RATIO)))-BJ29),DEBT_AMORTIZATION_TYPE=2,(ACQUISITION_COST*LTV_RATIO)/DEBT_TENOR_MONTHS,DEBT_AMORTIZATION_TYPE=3,IF(BJ7=DEBT_TENOR_MONTHS,ACQUISITION_COST*LTV_RATIO,0)))</f>
        <v>60137.93235261082</v>
      </c>
      <c r="BK30" s="42" cm="1">
        <f t="array" ref="BK30">IF(BK7&gt;DEBT_TENOR_MONTHS,0,_xlfn.IFS(DEBT_AMORTIZATION_TYPE=1,MAX(0,ABS(PMT(DEBT_INTEREST_RATE/12,DEBT_TENOR_MONTHS,-(ACQUISITION_COST*LTV_RATIO)))-BK29),DEBT_AMORTIZATION_TYPE=2,(ACQUISITION_COST*LTV_RATIO)/DEBT_TENOR_MONTHS,DEBT_AMORTIZATION_TYPE=3,IF(BK7=DEBT_TENOR_MONTHS,ACQUISITION_COST*LTV_RATIO,0)))</f>
        <v>60363.449598933112</v>
      </c>
      <c r="BL30" s="42" cm="1">
        <f t="array" ref="BL30">IF(BL7&gt;DEBT_TENOR_MONTHS,0,_xlfn.IFS(DEBT_AMORTIZATION_TYPE=1,MAX(0,ABS(PMT(DEBT_INTEREST_RATE/12,DEBT_TENOR_MONTHS,-(ACQUISITION_COST*LTV_RATIO)))-BL29),DEBT_AMORTIZATION_TYPE=2,(ACQUISITION_COST*LTV_RATIO)/DEBT_TENOR_MONTHS,DEBT_AMORTIZATION_TYPE=3,IF(BL7=DEBT_TENOR_MONTHS,ACQUISITION_COST*LTV_RATIO,0)))</f>
        <v>0</v>
      </c>
      <c r="BM30" s="42" cm="1">
        <f t="array" ref="BM30">IF(BM7&gt;DEBT_TENOR_MONTHS,0,_xlfn.IFS(DEBT_AMORTIZATION_TYPE=1,MAX(0,ABS(PMT(DEBT_INTEREST_RATE/12,DEBT_TENOR_MONTHS,-(ACQUISITION_COST*LTV_RATIO)))-BM29),DEBT_AMORTIZATION_TYPE=2,(ACQUISITION_COST*LTV_RATIO)/DEBT_TENOR_MONTHS,DEBT_AMORTIZATION_TYPE=3,IF(BM7=DEBT_TENOR_MONTHS,ACQUISITION_COST*LTV_RATIO,0)))</f>
        <v>0</v>
      </c>
      <c r="BN30" s="42" cm="1">
        <f t="array" ref="BN30">IF(BN7&gt;DEBT_TENOR_MONTHS,0,_xlfn.IFS(DEBT_AMORTIZATION_TYPE=1,MAX(0,ABS(PMT(DEBT_INTEREST_RATE/12,DEBT_TENOR_MONTHS,-(ACQUISITION_COST*LTV_RATIO)))-BN29),DEBT_AMORTIZATION_TYPE=2,(ACQUISITION_COST*LTV_RATIO)/DEBT_TENOR_MONTHS,DEBT_AMORTIZATION_TYPE=3,IF(BN7=DEBT_TENOR_MONTHS,ACQUISITION_COST*LTV_RATIO,0)))</f>
        <v>0</v>
      </c>
      <c r="BO30" s="42" cm="1">
        <f t="array" ref="BO30">IF(BO7&gt;DEBT_TENOR_MONTHS,0,_xlfn.IFS(DEBT_AMORTIZATION_TYPE=1,MAX(0,ABS(PMT(DEBT_INTEREST_RATE/12,DEBT_TENOR_MONTHS,-(ACQUISITION_COST*LTV_RATIO)))-BO29),DEBT_AMORTIZATION_TYPE=2,(ACQUISITION_COST*LTV_RATIO)/DEBT_TENOR_MONTHS,DEBT_AMORTIZATION_TYPE=3,IF(BO7=DEBT_TENOR_MONTHS,ACQUISITION_COST*LTV_RATIO,0)))</f>
        <v>0</v>
      </c>
      <c r="BP30" s="42" cm="1">
        <f t="array" ref="BP30">IF(BP7&gt;DEBT_TENOR_MONTHS,0,_xlfn.IFS(DEBT_AMORTIZATION_TYPE=1,MAX(0,ABS(PMT(DEBT_INTEREST_RATE/12,DEBT_TENOR_MONTHS,-(ACQUISITION_COST*LTV_RATIO)))-BP29),DEBT_AMORTIZATION_TYPE=2,(ACQUISITION_COST*LTV_RATIO)/DEBT_TENOR_MONTHS,DEBT_AMORTIZATION_TYPE=3,IF(BP7=DEBT_TENOR_MONTHS,ACQUISITION_COST*LTV_RATIO,0)))</f>
        <v>0</v>
      </c>
      <c r="BQ30" s="42" cm="1">
        <f t="array" ref="BQ30">IF(BQ7&gt;DEBT_TENOR_MONTHS,0,_xlfn.IFS(DEBT_AMORTIZATION_TYPE=1,MAX(0,ABS(PMT(DEBT_INTEREST_RATE/12,DEBT_TENOR_MONTHS,-(ACQUISITION_COST*LTV_RATIO)))-BQ29),DEBT_AMORTIZATION_TYPE=2,(ACQUISITION_COST*LTV_RATIO)/DEBT_TENOR_MONTHS,DEBT_AMORTIZATION_TYPE=3,IF(BQ7=DEBT_TENOR_MONTHS,ACQUISITION_COST*LTV_RATIO,0)))</f>
        <v>0</v>
      </c>
      <c r="BR30" s="42" cm="1">
        <f t="array" ref="BR30">IF(BR7&gt;DEBT_TENOR_MONTHS,0,_xlfn.IFS(DEBT_AMORTIZATION_TYPE=1,MAX(0,ABS(PMT(DEBT_INTEREST_RATE/12,DEBT_TENOR_MONTHS,-(ACQUISITION_COST*LTV_RATIO)))-BR29),DEBT_AMORTIZATION_TYPE=2,(ACQUISITION_COST*LTV_RATIO)/DEBT_TENOR_MONTHS,DEBT_AMORTIZATION_TYPE=3,IF(BR7=DEBT_TENOR_MONTHS,ACQUISITION_COST*LTV_RATIO,0)))</f>
        <v>0</v>
      </c>
      <c r="BS30" s="42" cm="1">
        <f t="array" ref="BS30">IF(BS7&gt;DEBT_TENOR_MONTHS,0,_xlfn.IFS(DEBT_AMORTIZATION_TYPE=1,MAX(0,ABS(PMT(DEBT_INTEREST_RATE/12,DEBT_TENOR_MONTHS,-(ACQUISITION_COST*LTV_RATIO)))-BS29),DEBT_AMORTIZATION_TYPE=2,(ACQUISITION_COST*LTV_RATIO)/DEBT_TENOR_MONTHS,DEBT_AMORTIZATION_TYPE=3,IF(BS7=DEBT_TENOR_MONTHS,ACQUISITION_COST*LTV_RATIO,0)))</f>
        <v>0</v>
      </c>
      <c r="BT30" s="42" cm="1">
        <f t="array" ref="BT30">IF(BT7&gt;DEBT_TENOR_MONTHS,0,_xlfn.IFS(DEBT_AMORTIZATION_TYPE=1,MAX(0,ABS(PMT(DEBT_INTEREST_RATE/12,DEBT_TENOR_MONTHS,-(ACQUISITION_COST*LTV_RATIO)))-BT29),DEBT_AMORTIZATION_TYPE=2,(ACQUISITION_COST*LTV_RATIO)/DEBT_TENOR_MONTHS,DEBT_AMORTIZATION_TYPE=3,IF(BT7=DEBT_TENOR_MONTHS,ACQUISITION_COST*LTV_RATIO,0)))</f>
        <v>0</v>
      </c>
      <c r="BU30" s="42" cm="1">
        <f t="array" ref="BU30">IF(BU7&gt;DEBT_TENOR_MONTHS,0,_xlfn.IFS(DEBT_AMORTIZATION_TYPE=1,MAX(0,ABS(PMT(DEBT_INTEREST_RATE/12,DEBT_TENOR_MONTHS,-(ACQUISITION_COST*LTV_RATIO)))-BU29),DEBT_AMORTIZATION_TYPE=2,(ACQUISITION_COST*LTV_RATIO)/DEBT_TENOR_MONTHS,DEBT_AMORTIZATION_TYPE=3,IF(BU7=DEBT_TENOR_MONTHS,ACQUISITION_COST*LTV_RATIO,0)))</f>
        <v>0</v>
      </c>
      <c r="BV30" s="42" cm="1">
        <f t="array" ref="BV30">IF(BV7&gt;DEBT_TENOR_MONTHS,0,_xlfn.IFS(DEBT_AMORTIZATION_TYPE=1,MAX(0,ABS(PMT(DEBT_INTEREST_RATE/12,DEBT_TENOR_MONTHS,-(ACQUISITION_COST*LTV_RATIO)))-BV29),DEBT_AMORTIZATION_TYPE=2,(ACQUISITION_COST*LTV_RATIO)/DEBT_TENOR_MONTHS,DEBT_AMORTIZATION_TYPE=3,IF(BV7=DEBT_TENOR_MONTHS,ACQUISITION_COST*LTV_RATIO,0)))</f>
        <v>0</v>
      </c>
      <c r="BW30" s="42" cm="1">
        <f t="array" ref="BW30">IF(BW7&gt;DEBT_TENOR_MONTHS,0,_xlfn.IFS(DEBT_AMORTIZATION_TYPE=1,MAX(0,ABS(PMT(DEBT_INTEREST_RATE/12,DEBT_TENOR_MONTHS,-(ACQUISITION_COST*LTV_RATIO)))-BW29),DEBT_AMORTIZATION_TYPE=2,(ACQUISITION_COST*LTV_RATIO)/DEBT_TENOR_MONTHS,DEBT_AMORTIZATION_TYPE=3,IF(BW7=DEBT_TENOR_MONTHS,ACQUISITION_COST*LTV_RATIO,0)))</f>
        <v>0</v>
      </c>
      <c r="BX30" s="42" cm="1">
        <f t="array" ref="BX30">IF(BX7&gt;DEBT_TENOR_MONTHS,0,_xlfn.IFS(DEBT_AMORTIZATION_TYPE=1,MAX(0,ABS(PMT(DEBT_INTEREST_RATE/12,DEBT_TENOR_MONTHS,-(ACQUISITION_COST*LTV_RATIO)))-BX29),DEBT_AMORTIZATION_TYPE=2,(ACQUISITION_COST*LTV_RATIO)/DEBT_TENOR_MONTHS,DEBT_AMORTIZATION_TYPE=3,IF(BX7=DEBT_TENOR_MONTHS,ACQUISITION_COST*LTV_RATIO,0)))</f>
        <v>0</v>
      </c>
      <c r="BY30" s="42" cm="1">
        <f t="array" ref="BY30">IF(BY7&gt;DEBT_TENOR_MONTHS,0,_xlfn.IFS(DEBT_AMORTIZATION_TYPE=1,MAX(0,ABS(PMT(DEBT_INTEREST_RATE/12,DEBT_TENOR_MONTHS,-(ACQUISITION_COST*LTV_RATIO)))-BY29),DEBT_AMORTIZATION_TYPE=2,(ACQUISITION_COST*LTV_RATIO)/DEBT_TENOR_MONTHS,DEBT_AMORTIZATION_TYPE=3,IF(BY7=DEBT_TENOR_MONTHS,ACQUISITION_COST*LTV_RATIO,0)))</f>
        <v>0</v>
      </c>
      <c r="BZ30" s="42" cm="1">
        <f t="array" ref="BZ30">IF(BZ7&gt;DEBT_TENOR_MONTHS,0,_xlfn.IFS(DEBT_AMORTIZATION_TYPE=1,MAX(0,ABS(PMT(DEBT_INTEREST_RATE/12,DEBT_TENOR_MONTHS,-(ACQUISITION_COST*LTV_RATIO)))-BZ29),DEBT_AMORTIZATION_TYPE=2,(ACQUISITION_COST*LTV_RATIO)/DEBT_TENOR_MONTHS,DEBT_AMORTIZATION_TYPE=3,IF(BZ7=DEBT_TENOR_MONTHS,ACQUISITION_COST*LTV_RATIO,0)))</f>
        <v>0</v>
      </c>
      <c r="CA30" s="42" cm="1">
        <f t="array" ref="CA30">IF(CA7&gt;DEBT_TENOR_MONTHS,0,_xlfn.IFS(DEBT_AMORTIZATION_TYPE=1,MAX(0,ABS(PMT(DEBT_INTEREST_RATE/12,DEBT_TENOR_MONTHS,-(ACQUISITION_COST*LTV_RATIO)))-CA29),DEBT_AMORTIZATION_TYPE=2,(ACQUISITION_COST*LTV_RATIO)/DEBT_TENOR_MONTHS,DEBT_AMORTIZATION_TYPE=3,IF(CA7=DEBT_TENOR_MONTHS,ACQUISITION_COST*LTV_RATIO,0)))</f>
        <v>0</v>
      </c>
      <c r="CB30" s="42" cm="1">
        <f t="array" ref="CB30">IF(CB7&gt;DEBT_TENOR_MONTHS,0,_xlfn.IFS(DEBT_AMORTIZATION_TYPE=1,MAX(0,ABS(PMT(DEBT_INTEREST_RATE/12,DEBT_TENOR_MONTHS,-(ACQUISITION_COST*LTV_RATIO)))-CB29),DEBT_AMORTIZATION_TYPE=2,(ACQUISITION_COST*LTV_RATIO)/DEBT_TENOR_MONTHS,DEBT_AMORTIZATION_TYPE=3,IF(CB7=DEBT_TENOR_MONTHS,ACQUISITION_COST*LTV_RATIO,0)))</f>
        <v>0</v>
      </c>
      <c r="CC30" s="42" cm="1">
        <f t="array" ref="CC30">IF(CC7&gt;DEBT_TENOR_MONTHS,0,_xlfn.IFS(DEBT_AMORTIZATION_TYPE=1,MAX(0,ABS(PMT(DEBT_INTEREST_RATE/12,DEBT_TENOR_MONTHS,-(ACQUISITION_COST*LTV_RATIO)))-CC29),DEBT_AMORTIZATION_TYPE=2,(ACQUISITION_COST*LTV_RATIO)/DEBT_TENOR_MONTHS,DEBT_AMORTIZATION_TYPE=3,IF(CC7=DEBT_TENOR_MONTHS,ACQUISITION_COST*LTV_RATIO,0)))</f>
        <v>0</v>
      </c>
      <c r="CD30" s="42" cm="1">
        <f t="array" ref="CD30">IF(CD7&gt;DEBT_TENOR_MONTHS,0,_xlfn.IFS(DEBT_AMORTIZATION_TYPE=1,MAX(0,ABS(PMT(DEBT_INTEREST_RATE/12,DEBT_TENOR_MONTHS,-(ACQUISITION_COST*LTV_RATIO)))-CD29),DEBT_AMORTIZATION_TYPE=2,(ACQUISITION_COST*LTV_RATIO)/DEBT_TENOR_MONTHS,DEBT_AMORTIZATION_TYPE=3,IF(CD7=DEBT_TENOR_MONTHS,ACQUISITION_COST*LTV_RATIO,0)))</f>
        <v>0</v>
      </c>
      <c r="CE30" s="42" cm="1">
        <f t="array" ref="CE30">IF(CE7&gt;DEBT_TENOR_MONTHS,0,_xlfn.IFS(DEBT_AMORTIZATION_TYPE=1,MAX(0,ABS(PMT(DEBT_INTEREST_RATE/12,DEBT_TENOR_MONTHS,-(ACQUISITION_COST*LTV_RATIO)))-CE29),DEBT_AMORTIZATION_TYPE=2,(ACQUISITION_COST*LTV_RATIO)/DEBT_TENOR_MONTHS,DEBT_AMORTIZATION_TYPE=3,IF(CE7=DEBT_TENOR_MONTHS,ACQUISITION_COST*LTV_RATIO,0)))</f>
        <v>0</v>
      </c>
      <c r="CF30" s="42" cm="1">
        <f t="array" ref="CF30">IF(CF7&gt;DEBT_TENOR_MONTHS,0,_xlfn.IFS(DEBT_AMORTIZATION_TYPE=1,MAX(0,ABS(PMT(DEBT_INTEREST_RATE/12,DEBT_TENOR_MONTHS,-(ACQUISITION_COST*LTV_RATIO)))-CF29),DEBT_AMORTIZATION_TYPE=2,(ACQUISITION_COST*LTV_RATIO)/DEBT_TENOR_MONTHS,DEBT_AMORTIZATION_TYPE=3,IF(CF7=DEBT_TENOR_MONTHS,ACQUISITION_COST*LTV_RATIO,0)))</f>
        <v>0</v>
      </c>
      <c r="CG30" s="42" cm="1">
        <f t="array" ref="CG30">IF(CG7&gt;DEBT_TENOR_MONTHS,0,_xlfn.IFS(DEBT_AMORTIZATION_TYPE=1,MAX(0,ABS(PMT(DEBT_INTEREST_RATE/12,DEBT_TENOR_MONTHS,-(ACQUISITION_COST*LTV_RATIO)))-CG29),DEBT_AMORTIZATION_TYPE=2,(ACQUISITION_COST*LTV_RATIO)/DEBT_TENOR_MONTHS,DEBT_AMORTIZATION_TYPE=3,IF(CG7=DEBT_TENOR_MONTHS,ACQUISITION_COST*LTV_RATIO,0)))</f>
        <v>0</v>
      </c>
      <c r="CH30" s="42" cm="1">
        <f t="array" ref="CH30">IF(CH7&gt;DEBT_TENOR_MONTHS,0,_xlfn.IFS(DEBT_AMORTIZATION_TYPE=1,MAX(0,ABS(PMT(DEBT_INTEREST_RATE/12,DEBT_TENOR_MONTHS,-(ACQUISITION_COST*LTV_RATIO)))-CH29),DEBT_AMORTIZATION_TYPE=2,(ACQUISITION_COST*LTV_RATIO)/DEBT_TENOR_MONTHS,DEBT_AMORTIZATION_TYPE=3,IF(CH7=DEBT_TENOR_MONTHS,ACQUISITION_COST*LTV_RATIO,0)))</f>
        <v>0</v>
      </c>
      <c r="CI30" s="42" cm="1">
        <f t="array" ref="CI30">IF(CI7&gt;DEBT_TENOR_MONTHS,0,_xlfn.IFS(DEBT_AMORTIZATION_TYPE=1,MAX(0,ABS(PMT(DEBT_INTEREST_RATE/12,DEBT_TENOR_MONTHS,-(ACQUISITION_COST*LTV_RATIO)))-CI29),DEBT_AMORTIZATION_TYPE=2,(ACQUISITION_COST*LTV_RATIO)/DEBT_TENOR_MONTHS,DEBT_AMORTIZATION_TYPE=3,IF(CI7=DEBT_TENOR_MONTHS,ACQUISITION_COST*LTV_RATIO,0)))</f>
        <v>0</v>
      </c>
      <c r="CJ30" s="42" cm="1">
        <f t="array" ref="CJ30">IF(CJ7&gt;DEBT_TENOR_MONTHS,0,_xlfn.IFS(DEBT_AMORTIZATION_TYPE=1,MAX(0,ABS(PMT(DEBT_INTEREST_RATE/12,DEBT_TENOR_MONTHS,-(ACQUISITION_COST*LTV_RATIO)))-CJ29),DEBT_AMORTIZATION_TYPE=2,(ACQUISITION_COST*LTV_RATIO)/DEBT_TENOR_MONTHS,DEBT_AMORTIZATION_TYPE=3,IF(CJ7=DEBT_TENOR_MONTHS,ACQUISITION_COST*LTV_RATIO,0)))</f>
        <v>0</v>
      </c>
      <c r="CK30" s="42" cm="1">
        <f t="array" ref="CK30">IF(CK7&gt;DEBT_TENOR_MONTHS,0,_xlfn.IFS(DEBT_AMORTIZATION_TYPE=1,MAX(0,ABS(PMT(DEBT_INTEREST_RATE/12,DEBT_TENOR_MONTHS,-(ACQUISITION_COST*LTV_RATIO)))-CK29),DEBT_AMORTIZATION_TYPE=2,(ACQUISITION_COST*LTV_RATIO)/DEBT_TENOR_MONTHS,DEBT_AMORTIZATION_TYPE=3,IF(CK7=DEBT_TENOR_MONTHS,ACQUISITION_COST*LTV_RATIO,0)))</f>
        <v>0</v>
      </c>
      <c r="CL30" s="42" cm="1">
        <f t="array" ref="CL30">IF(CL7&gt;DEBT_TENOR_MONTHS,0,_xlfn.IFS(DEBT_AMORTIZATION_TYPE=1,MAX(0,ABS(PMT(DEBT_INTEREST_RATE/12,DEBT_TENOR_MONTHS,-(ACQUISITION_COST*LTV_RATIO)))-CL29),DEBT_AMORTIZATION_TYPE=2,(ACQUISITION_COST*LTV_RATIO)/DEBT_TENOR_MONTHS,DEBT_AMORTIZATION_TYPE=3,IF(CL7=DEBT_TENOR_MONTHS,ACQUISITION_COST*LTV_RATIO,0)))</f>
        <v>0</v>
      </c>
      <c r="CM30" s="42" cm="1">
        <f t="array" ref="CM30">IF(CM7&gt;DEBT_TENOR_MONTHS,0,_xlfn.IFS(DEBT_AMORTIZATION_TYPE=1,MAX(0,ABS(PMT(DEBT_INTEREST_RATE/12,DEBT_TENOR_MONTHS,-(ACQUISITION_COST*LTV_RATIO)))-CM29),DEBT_AMORTIZATION_TYPE=2,(ACQUISITION_COST*LTV_RATIO)/DEBT_TENOR_MONTHS,DEBT_AMORTIZATION_TYPE=3,IF(CM7=DEBT_TENOR_MONTHS,ACQUISITION_COST*LTV_RATIO,0)))</f>
        <v>0</v>
      </c>
      <c r="CN30" s="42" cm="1">
        <f t="array" ref="CN30">IF(CN7&gt;DEBT_TENOR_MONTHS,0,_xlfn.IFS(DEBT_AMORTIZATION_TYPE=1,MAX(0,ABS(PMT(DEBT_INTEREST_RATE/12,DEBT_TENOR_MONTHS,-(ACQUISITION_COST*LTV_RATIO)))-CN29),DEBT_AMORTIZATION_TYPE=2,(ACQUISITION_COST*LTV_RATIO)/DEBT_TENOR_MONTHS,DEBT_AMORTIZATION_TYPE=3,IF(CN7=DEBT_TENOR_MONTHS,ACQUISITION_COST*LTV_RATIO,0)))</f>
        <v>0</v>
      </c>
      <c r="CO30" s="42" cm="1">
        <f t="array" ref="CO30">IF(CO7&gt;DEBT_TENOR_MONTHS,0,_xlfn.IFS(DEBT_AMORTIZATION_TYPE=1,MAX(0,ABS(PMT(DEBT_INTEREST_RATE/12,DEBT_TENOR_MONTHS,-(ACQUISITION_COST*LTV_RATIO)))-CO29),DEBT_AMORTIZATION_TYPE=2,(ACQUISITION_COST*LTV_RATIO)/DEBT_TENOR_MONTHS,DEBT_AMORTIZATION_TYPE=3,IF(CO7=DEBT_TENOR_MONTHS,ACQUISITION_COST*LTV_RATIO,0)))</f>
        <v>0</v>
      </c>
      <c r="CP30" s="42" cm="1">
        <f t="array" ref="CP30">IF(CP7&gt;DEBT_TENOR_MONTHS,0,_xlfn.IFS(DEBT_AMORTIZATION_TYPE=1,MAX(0,ABS(PMT(DEBT_INTEREST_RATE/12,DEBT_TENOR_MONTHS,-(ACQUISITION_COST*LTV_RATIO)))-CP29),DEBT_AMORTIZATION_TYPE=2,(ACQUISITION_COST*LTV_RATIO)/DEBT_TENOR_MONTHS,DEBT_AMORTIZATION_TYPE=3,IF(CP7=DEBT_TENOR_MONTHS,ACQUISITION_COST*LTV_RATIO,0)))</f>
        <v>0</v>
      </c>
      <c r="CQ30" s="42" cm="1">
        <f t="array" ref="CQ30">IF(CQ7&gt;DEBT_TENOR_MONTHS,0,_xlfn.IFS(DEBT_AMORTIZATION_TYPE=1,MAX(0,ABS(PMT(DEBT_INTEREST_RATE/12,DEBT_TENOR_MONTHS,-(ACQUISITION_COST*LTV_RATIO)))-CQ29),DEBT_AMORTIZATION_TYPE=2,(ACQUISITION_COST*LTV_RATIO)/DEBT_TENOR_MONTHS,DEBT_AMORTIZATION_TYPE=3,IF(CQ7=DEBT_TENOR_MONTHS,ACQUISITION_COST*LTV_RATIO,0)))</f>
        <v>0</v>
      </c>
      <c r="CR30" s="42" cm="1">
        <f t="array" ref="CR30">IF(CR7&gt;DEBT_TENOR_MONTHS,0,_xlfn.IFS(DEBT_AMORTIZATION_TYPE=1,MAX(0,ABS(PMT(DEBT_INTEREST_RATE/12,DEBT_TENOR_MONTHS,-(ACQUISITION_COST*LTV_RATIO)))-CR29),DEBT_AMORTIZATION_TYPE=2,(ACQUISITION_COST*LTV_RATIO)/DEBT_TENOR_MONTHS,DEBT_AMORTIZATION_TYPE=3,IF(CR7=DEBT_TENOR_MONTHS,ACQUISITION_COST*LTV_RATIO,0)))</f>
        <v>0</v>
      </c>
      <c r="CS30" s="42" cm="1">
        <f t="array" ref="CS30">IF(CS7&gt;DEBT_TENOR_MONTHS,0,_xlfn.IFS(DEBT_AMORTIZATION_TYPE=1,MAX(0,ABS(PMT(DEBT_INTEREST_RATE/12,DEBT_TENOR_MONTHS,-(ACQUISITION_COST*LTV_RATIO)))-CS29),DEBT_AMORTIZATION_TYPE=2,(ACQUISITION_COST*LTV_RATIO)/DEBT_TENOR_MONTHS,DEBT_AMORTIZATION_TYPE=3,IF(CS7=DEBT_TENOR_MONTHS,ACQUISITION_COST*LTV_RATIO,0)))</f>
        <v>0</v>
      </c>
      <c r="CT30" s="42" cm="1">
        <f t="array" ref="CT30">IF(CT7&gt;DEBT_TENOR_MONTHS,0,_xlfn.IFS(DEBT_AMORTIZATION_TYPE=1,MAX(0,ABS(PMT(DEBT_INTEREST_RATE/12,DEBT_TENOR_MONTHS,-(ACQUISITION_COST*LTV_RATIO)))-CT29),DEBT_AMORTIZATION_TYPE=2,(ACQUISITION_COST*LTV_RATIO)/DEBT_TENOR_MONTHS,DEBT_AMORTIZATION_TYPE=3,IF(CT7=DEBT_TENOR_MONTHS,ACQUISITION_COST*LTV_RATIO,0)))</f>
        <v>0</v>
      </c>
      <c r="CU30" s="42" cm="1">
        <f t="array" ref="CU30">IF(CU7&gt;DEBT_TENOR_MONTHS,0,_xlfn.IFS(DEBT_AMORTIZATION_TYPE=1,MAX(0,ABS(PMT(DEBT_INTEREST_RATE/12,DEBT_TENOR_MONTHS,-(ACQUISITION_COST*LTV_RATIO)))-CU29),DEBT_AMORTIZATION_TYPE=2,(ACQUISITION_COST*LTV_RATIO)/DEBT_TENOR_MONTHS,DEBT_AMORTIZATION_TYPE=3,IF(CU7=DEBT_TENOR_MONTHS,ACQUISITION_COST*LTV_RATIO,0)))</f>
        <v>0</v>
      </c>
      <c r="CV30" s="42" cm="1">
        <f t="array" ref="CV30">IF(CV7&gt;DEBT_TENOR_MONTHS,0,_xlfn.IFS(DEBT_AMORTIZATION_TYPE=1,MAX(0,ABS(PMT(DEBT_INTEREST_RATE/12,DEBT_TENOR_MONTHS,-(ACQUISITION_COST*LTV_RATIO)))-CV29),DEBT_AMORTIZATION_TYPE=2,(ACQUISITION_COST*LTV_RATIO)/DEBT_TENOR_MONTHS,DEBT_AMORTIZATION_TYPE=3,IF(CV7=DEBT_TENOR_MONTHS,ACQUISITION_COST*LTV_RATIO,0)))</f>
        <v>0</v>
      </c>
      <c r="CW30" s="42" cm="1">
        <f t="array" ref="CW30">IF(CW7&gt;DEBT_TENOR_MONTHS,0,_xlfn.IFS(DEBT_AMORTIZATION_TYPE=1,MAX(0,ABS(PMT(DEBT_INTEREST_RATE/12,DEBT_TENOR_MONTHS,-(ACQUISITION_COST*LTV_RATIO)))-CW29),DEBT_AMORTIZATION_TYPE=2,(ACQUISITION_COST*LTV_RATIO)/DEBT_TENOR_MONTHS,DEBT_AMORTIZATION_TYPE=3,IF(CW7=DEBT_TENOR_MONTHS,ACQUISITION_COST*LTV_RATIO,0)))</f>
        <v>0</v>
      </c>
      <c r="CX30" s="42" cm="1">
        <f t="array" ref="CX30">IF(CX7&gt;DEBT_TENOR_MONTHS,0,_xlfn.IFS(DEBT_AMORTIZATION_TYPE=1,MAX(0,ABS(PMT(DEBT_INTEREST_RATE/12,DEBT_TENOR_MONTHS,-(ACQUISITION_COST*LTV_RATIO)))-CX29),DEBT_AMORTIZATION_TYPE=2,(ACQUISITION_COST*LTV_RATIO)/DEBT_TENOR_MONTHS,DEBT_AMORTIZATION_TYPE=3,IF(CX7=DEBT_TENOR_MONTHS,ACQUISITION_COST*LTV_RATIO,0)))</f>
        <v>0</v>
      </c>
      <c r="CY30" s="42" cm="1">
        <f t="array" ref="CY30">IF(CY7&gt;DEBT_TENOR_MONTHS,0,_xlfn.IFS(DEBT_AMORTIZATION_TYPE=1,MAX(0,ABS(PMT(DEBT_INTEREST_RATE/12,DEBT_TENOR_MONTHS,-(ACQUISITION_COST*LTV_RATIO)))-CY29),DEBT_AMORTIZATION_TYPE=2,(ACQUISITION_COST*LTV_RATIO)/DEBT_TENOR_MONTHS,DEBT_AMORTIZATION_TYPE=3,IF(CY7=DEBT_TENOR_MONTHS,ACQUISITION_COST*LTV_RATIO,0)))</f>
        <v>0</v>
      </c>
      <c r="CZ30" s="42" cm="1">
        <f t="array" ref="CZ30">IF(CZ7&gt;DEBT_TENOR_MONTHS,0,_xlfn.IFS(DEBT_AMORTIZATION_TYPE=1,MAX(0,ABS(PMT(DEBT_INTEREST_RATE/12,DEBT_TENOR_MONTHS,-(ACQUISITION_COST*LTV_RATIO)))-CZ29),DEBT_AMORTIZATION_TYPE=2,(ACQUISITION_COST*LTV_RATIO)/DEBT_TENOR_MONTHS,DEBT_AMORTIZATION_TYPE=3,IF(CZ7=DEBT_TENOR_MONTHS,ACQUISITION_COST*LTV_RATIO,0)))</f>
        <v>0</v>
      </c>
      <c r="DA30" s="42" cm="1">
        <f t="array" ref="DA30">IF(DA7&gt;DEBT_TENOR_MONTHS,0,_xlfn.IFS(DEBT_AMORTIZATION_TYPE=1,MAX(0,ABS(PMT(DEBT_INTEREST_RATE/12,DEBT_TENOR_MONTHS,-(ACQUISITION_COST*LTV_RATIO)))-DA29),DEBT_AMORTIZATION_TYPE=2,(ACQUISITION_COST*LTV_RATIO)/DEBT_TENOR_MONTHS,DEBT_AMORTIZATION_TYPE=3,IF(DA7=DEBT_TENOR_MONTHS,ACQUISITION_COST*LTV_RATIO,0)))</f>
        <v>0</v>
      </c>
      <c r="DB30" s="42" cm="1">
        <f t="array" ref="DB30">IF(DB7&gt;DEBT_TENOR_MONTHS,0,_xlfn.IFS(DEBT_AMORTIZATION_TYPE=1,MAX(0,ABS(PMT(DEBT_INTEREST_RATE/12,DEBT_TENOR_MONTHS,-(ACQUISITION_COST*LTV_RATIO)))-DB29),DEBT_AMORTIZATION_TYPE=2,(ACQUISITION_COST*LTV_RATIO)/DEBT_TENOR_MONTHS,DEBT_AMORTIZATION_TYPE=3,IF(DB7=DEBT_TENOR_MONTHS,ACQUISITION_COST*LTV_RATIO,0)))</f>
        <v>0</v>
      </c>
      <c r="DC30" s="42" cm="1">
        <f t="array" ref="DC30">IF(DC7&gt;DEBT_TENOR_MONTHS,0,_xlfn.IFS(DEBT_AMORTIZATION_TYPE=1,MAX(0,ABS(PMT(DEBT_INTEREST_RATE/12,DEBT_TENOR_MONTHS,-(ACQUISITION_COST*LTV_RATIO)))-DC29),DEBT_AMORTIZATION_TYPE=2,(ACQUISITION_COST*LTV_RATIO)/DEBT_TENOR_MONTHS,DEBT_AMORTIZATION_TYPE=3,IF(DC7=DEBT_TENOR_MONTHS,ACQUISITION_COST*LTV_RATIO,0)))</f>
        <v>0</v>
      </c>
      <c r="DD30" s="42" cm="1">
        <f t="array" ref="DD30">IF(DD7&gt;DEBT_TENOR_MONTHS,0,_xlfn.IFS(DEBT_AMORTIZATION_TYPE=1,MAX(0,ABS(PMT(DEBT_INTEREST_RATE/12,DEBT_TENOR_MONTHS,-(ACQUISITION_COST*LTV_RATIO)))-DD29),DEBT_AMORTIZATION_TYPE=2,(ACQUISITION_COST*LTV_RATIO)/DEBT_TENOR_MONTHS,DEBT_AMORTIZATION_TYPE=3,IF(DD7=DEBT_TENOR_MONTHS,ACQUISITION_COST*LTV_RATIO,0)))</f>
        <v>0</v>
      </c>
      <c r="DE30" s="42" cm="1">
        <f t="array" ref="DE30">IF(DE7&gt;DEBT_TENOR_MONTHS,0,_xlfn.IFS(DEBT_AMORTIZATION_TYPE=1,MAX(0,ABS(PMT(DEBT_INTEREST_RATE/12,DEBT_TENOR_MONTHS,-(ACQUISITION_COST*LTV_RATIO)))-DE29),DEBT_AMORTIZATION_TYPE=2,(ACQUISITION_COST*LTV_RATIO)/DEBT_TENOR_MONTHS,DEBT_AMORTIZATION_TYPE=3,IF(DE7=DEBT_TENOR_MONTHS,ACQUISITION_COST*LTV_RATIO,0)))</f>
        <v>0</v>
      </c>
      <c r="DF30" s="42" cm="1">
        <f t="array" ref="DF30">IF(DF7&gt;DEBT_TENOR_MONTHS,0,_xlfn.IFS(DEBT_AMORTIZATION_TYPE=1,MAX(0,ABS(PMT(DEBT_INTEREST_RATE/12,DEBT_TENOR_MONTHS,-(ACQUISITION_COST*LTV_RATIO)))-DF29),DEBT_AMORTIZATION_TYPE=2,(ACQUISITION_COST*LTV_RATIO)/DEBT_TENOR_MONTHS,DEBT_AMORTIZATION_TYPE=3,IF(DF7=DEBT_TENOR_MONTHS,ACQUISITION_COST*LTV_RATIO,0)))</f>
        <v>0</v>
      </c>
      <c r="DG30" s="42" cm="1">
        <f t="array" ref="DG30">IF(DG7&gt;DEBT_TENOR_MONTHS,0,_xlfn.IFS(DEBT_AMORTIZATION_TYPE=1,MAX(0,ABS(PMT(DEBT_INTEREST_RATE/12,DEBT_TENOR_MONTHS,-(ACQUISITION_COST*LTV_RATIO)))-DG29),DEBT_AMORTIZATION_TYPE=2,(ACQUISITION_COST*LTV_RATIO)/DEBT_TENOR_MONTHS,DEBT_AMORTIZATION_TYPE=3,IF(DG7=DEBT_TENOR_MONTHS,ACQUISITION_COST*LTV_RATIO,0)))</f>
        <v>0</v>
      </c>
      <c r="DH30" s="42" cm="1">
        <f t="array" ref="DH30">IF(DH7&gt;DEBT_TENOR_MONTHS,0,_xlfn.IFS(DEBT_AMORTIZATION_TYPE=1,MAX(0,ABS(PMT(DEBT_INTEREST_RATE/12,DEBT_TENOR_MONTHS,-(ACQUISITION_COST*LTV_RATIO)))-DH29),DEBT_AMORTIZATION_TYPE=2,(ACQUISITION_COST*LTV_RATIO)/DEBT_TENOR_MONTHS,DEBT_AMORTIZATION_TYPE=3,IF(DH7=DEBT_TENOR_MONTHS,ACQUISITION_COST*LTV_RATIO,0)))</f>
        <v>0</v>
      </c>
      <c r="DI30" s="42" cm="1">
        <f t="array" ref="DI30">IF(DI7&gt;DEBT_TENOR_MONTHS,0,_xlfn.IFS(DEBT_AMORTIZATION_TYPE=1,MAX(0,ABS(PMT(DEBT_INTEREST_RATE/12,DEBT_TENOR_MONTHS,-(ACQUISITION_COST*LTV_RATIO)))-DI29),DEBT_AMORTIZATION_TYPE=2,(ACQUISITION_COST*LTV_RATIO)/DEBT_TENOR_MONTHS,DEBT_AMORTIZATION_TYPE=3,IF(DI7=DEBT_TENOR_MONTHS,ACQUISITION_COST*LTV_RATIO,0)))</f>
        <v>0</v>
      </c>
      <c r="DJ30" s="42" cm="1">
        <f t="array" ref="DJ30">IF(DJ7&gt;DEBT_TENOR_MONTHS,0,_xlfn.IFS(DEBT_AMORTIZATION_TYPE=1,MAX(0,ABS(PMT(DEBT_INTEREST_RATE/12,DEBT_TENOR_MONTHS,-(ACQUISITION_COST*LTV_RATIO)))-DJ29),DEBT_AMORTIZATION_TYPE=2,(ACQUISITION_COST*LTV_RATIO)/DEBT_TENOR_MONTHS,DEBT_AMORTIZATION_TYPE=3,IF(DJ7=DEBT_TENOR_MONTHS,ACQUISITION_COST*LTV_RATIO,0)))</f>
        <v>0</v>
      </c>
      <c r="DK30" s="42" cm="1">
        <f t="array" ref="DK30">IF(DK7&gt;DEBT_TENOR_MONTHS,0,_xlfn.IFS(DEBT_AMORTIZATION_TYPE=1,MAX(0,ABS(PMT(DEBT_INTEREST_RATE/12,DEBT_TENOR_MONTHS,-(ACQUISITION_COST*LTV_RATIO)))-DK29),DEBT_AMORTIZATION_TYPE=2,(ACQUISITION_COST*LTV_RATIO)/DEBT_TENOR_MONTHS,DEBT_AMORTIZATION_TYPE=3,IF(DK7=DEBT_TENOR_MONTHS,ACQUISITION_COST*LTV_RATIO,0)))</f>
        <v>0</v>
      </c>
      <c r="DL30" s="42" cm="1">
        <f t="array" ref="DL30">IF(DL7&gt;DEBT_TENOR_MONTHS,0,_xlfn.IFS(DEBT_AMORTIZATION_TYPE=1,MAX(0,ABS(PMT(DEBT_INTEREST_RATE/12,DEBT_TENOR_MONTHS,-(ACQUISITION_COST*LTV_RATIO)))-DL29),DEBT_AMORTIZATION_TYPE=2,(ACQUISITION_COST*LTV_RATIO)/DEBT_TENOR_MONTHS,DEBT_AMORTIZATION_TYPE=3,IF(DL7=DEBT_TENOR_MONTHS,ACQUISITION_COST*LTV_RATIO,0)))</f>
        <v>0</v>
      </c>
      <c r="DM30" s="42" cm="1">
        <f t="array" ref="DM30">IF(DM7&gt;DEBT_TENOR_MONTHS,0,_xlfn.IFS(DEBT_AMORTIZATION_TYPE=1,MAX(0,ABS(PMT(DEBT_INTEREST_RATE/12,DEBT_TENOR_MONTHS,-(ACQUISITION_COST*LTV_RATIO)))-DM29),DEBT_AMORTIZATION_TYPE=2,(ACQUISITION_COST*LTV_RATIO)/DEBT_TENOR_MONTHS,DEBT_AMORTIZATION_TYPE=3,IF(DM7=DEBT_TENOR_MONTHS,ACQUISITION_COST*LTV_RATIO,0)))</f>
        <v>0</v>
      </c>
      <c r="DN30" s="42" cm="1">
        <f t="array" ref="DN30">IF(DN7&gt;DEBT_TENOR_MONTHS,0,_xlfn.IFS(DEBT_AMORTIZATION_TYPE=1,MAX(0,ABS(PMT(DEBT_INTEREST_RATE/12,DEBT_TENOR_MONTHS,-(ACQUISITION_COST*LTV_RATIO)))-DN29),DEBT_AMORTIZATION_TYPE=2,(ACQUISITION_COST*LTV_RATIO)/DEBT_TENOR_MONTHS,DEBT_AMORTIZATION_TYPE=3,IF(DN7=DEBT_TENOR_MONTHS,ACQUISITION_COST*LTV_RATIO,0)))</f>
        <v>0</v>
      </c>
      <c r="DO30" s="42" cm="1">
        <f t="array" ref="DO30">IF(DO7&gt;DEBT_TENOR_MONTHS,0,_xlfn.IFS(DEBT_AMORTIZATION_TYPE=1,MAX(0,ABS(PMT(DEBT_INTEREST_RATE/12,DEBT_TENOR_MONTHS,-(ACQUISITION_COST*LTV_RATIO)))-DO29),DEBT_AMORTIZATION_TYPE=2,(ACQUISITION_COST*LTV_RATIO)/DEBT_TENOR_MONTHS,DEBT_AMORTIZATION_TYPE=3,IF(DO7=DEBT_TENOR_MONTHS,ACQUISITION_COST*LTV_RATIO,0)))</f>
        <v>0</v>
      </c>
      <c r="DP30" s="42" cm="1">
        <f t="array" ref="DP30">IF(DP7&gt;DEBT_TENOR_MONTHS,0,_xlfn.IFS(DEBT_AMORTIZATION_TYPE=1,MAX(0,ABS(PMT(DEBT_INTEREST_RATE/12,DEBT_TENOR_MONTHS,-(ACQUISITION_COST*LTV_RATIO)))-DP29),DEBT_AMORTIZATION_TYPE=2,(ACQUISITION_COST*LTV_RATIO)/DEBT_TENOR_MONTHS,DEBT_AMORTIZATION_TYPE=3,IF(DP7=DEBT_TENOR_MONTHS,ACQUISITION_COST*LTV_RATIO,0)))</f>
        <v>0</v>
      </c>
      <c r="DQ30" s="42" cm="1">
        <f t="array" ref="DQ30">IF(DQ7&gt;DEBT_TENOR_MONTHS,0,_xlfn.IFS(DEBT_AMORTIZATION_TYPE=1,MAX(0,ABS(PMT(DEBT_INTEREST_RATE/12,DEBT_TENOR_MONTHS,-(ACQUISITION_COST*LTV_RATIO)))-DQ29),DEBT_AMORTIZATION_TYPE=2,(ACQUISITION_COST*LTV_RATIO)/DEBT_TENOR_MONTHS,DEBT_AMORTIZATION_TYPE=3,IF(DQ7=DEBT_TENOR_MONTHS,ACQUISITION_COST*LTV_RATIO,0)))</f>
        <v>0</v>
      </c>
      <c r="DR30" s="42" cm="1">
        <f t="array" ref="DR30">IF(DR7&gt;DEBT_TENOR_MONTHS,0,_xlfn.IFS(DEBT_AMORTIZATION_TYPE=1,MAX(0,ABS(PMT(DEBT_INTEREST_RATE/12,DEBT_TENOR_MONTHS,-(ACQUISITION_COST*LTV_RATIO)))-DR29),DEBT_AMORTIZATION_TYPE=2,(ACQUISITION_COST*LTV_RATIO)/DEBT_TENOR_MONTHS,DEBT_AMORTIZATION_TYPE=3,IF(DR7=DEBT_TENOR_MONTHS,ACQUISITION_COST*LTV_RATIO,0)))</f>
        <v>0</v>
      </c>
      <c r="DS30" s="42" cm="1">
        <f t="array" ref="DS30">IF(DS7&gt;DEBT_TENOR_MONTHS,0,_xlfn.IFS(DEBT_AMORTIZATION_TYPE=1,MAX(0,ABS(PMT(DEBT_INTEREST_RATE/12,DEBT_TENOR_MONTHS,-(ACQUISITION_COST*LTV_RATIO)))-DS29),DEBT_AMORTIZATION_TYPE=2,(ACQUISITION_COST*LTV_RATIO)/DEBT_TENOR_MONTHS,DEBT_AMORTIZATION_TYPE=3,IF(DS7=DEBT_TENOR_MONTHS,ACQUISITION_COST*LTV_RATIO,0)))</f>
        <v>0</v>
      </c>
      <c r="DT30" s="58"/>
      <c r="DU30" s="58"/>
    </row>
    <row r="31" spans="1:125" ht="6" customHeight="1" x14ac:dyDescent="0.4">
      <c r="A31" s="55"/>
      <c r="B31" s="55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58"/>
      <c r="BF31" s="58"/>
      <c r="BG31" s="58"/>
      <c r="BH31" s="58"/>
      <c r="BI31" s="58"/>
      <c r="BJ31" s="58"/>
      <c r="BK31" s="58"/>
      <c r="BL31" s="58"/>
      <c r="BM31" s="58"/>
      <c r="BN31" s="58"/>
      <c r="BO31" s="58"/>
      <c r="BP31" s="58"/>
      <c r="BQ31" s="58"/>
      <c r="BR31" s="58"/>
      <c r="BS31" s="58"/>
      <c r="BT31" s="58"/>
      <c r="BU31" s="58"/>
      <c r="BV31" s="58"/>
      <c r="BW31" s="58"/>
      <c r="BX31" s="58"/>
      <c r="BY31" s="58"/>
      <c r="BZ31" s="58"/>
      <c r="CA31" s="58"/>
      <c r="CB31" s="58"/>
      <c r="CC31" s="58"/>
      <c r="CD31" s="58"/>
      <c r="CE31" s="58"/>
      <c r="CF31" s="58"/>
      <c r="CG31" s="58"/>
      <c r="CH31" s="58"/>
      <c r="CI31" s="58"/>
      <c r="CJ31" s="58"/>
      <c r="CK31" s="58"/>
      <c r="CL31" s="58"/>
      <c r="CM31" s="58"/>
      <c r="CN31" s="58"/>
      <c r="CO31" s="58"/>
      <c r="CP31" s="58"/>
      <c r="CQ31" s="58"/>
      <c r="CR31" s="58"/>
      <c r="CS31" s="58"/>
      <c r="CT31" s="58"/>
      <c r="CU31" s="58"/>
      <c r="CV31" s="58"/>
      <c r="CW31" s="58"/>
      <c r="CX31" s="58"/>
      <c r="CY31" s="58"/>
      <c r="CZ31" s="58"/>
      <c r="DA31" s="58"/>
      <c r="DB31" s="58"/>
      <c r="DC31" s="58"/>
      <c r="DD31" s="58"/>
      <c r="DE31" s="58"/>
      <c r="DF31" s="58"/>
      <c r="DG31" s="58"/>
      <c r="DH31" s="58"/>
      <c r="DI31" s="58"/>
      <c r="DJ31" s="58"/>
      <c r="DK31" s="58"/>
      <c r="DL31" s="58"/>
      <c r="DM31" s="58"/>
      <c r="DN31" s="58"/>
      <c r="DO31" s="58"/>
      <c r="DP31" s="58"/>
      <c r="DQ31" s="58"/>
      <c r="DR31" s="58"/>
      <c r="DS31" s="58"/>
      <c r="DT31" s="58"/>
      <c r="DU31" s="58"/>
    </row>
    <row r="32" spans="1:125" ht="22.05" customHeight="1" x14ac:dyDescent="0.5">
      <c r="A32" s="55"/>
      <c r="B32" s="50" t="s">
        <v>142</v>
      </c>
      <c r="C32" s="49"/>
      <c r="D32" s="49"/>
      <c r="E32" s="49"/>
      <c r="F32" s="49"/>
      <c r="G32" s="49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8"/>
      <c r="AQ32" s="58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58"/>
      <c r="BF32" s="58"/>
      <c r="BG32" s="58"/>
      <c r="BH32" s="58"/>
      <c r="BI32" s="58"/>
      <c r="BJ32" s="58"/>
      <c r="BK32" s="58"/>
      <c r="BL32" s="58"/>
      <c r="BM32" s="58"/>
      <c r="BN32" s="58"/>
      <c r="BO32" s="58"/>
      <c r="BP32" s="58"/>
      <c r="BQ32" s="58"/>
      <c r="BR32" s="58"/>
      <c r="BS32" s="58"/>
      <c r="BT32" s="58"/>
      <c r="BU32" s="58"/>
      <c r="BV32" s="58"/>
      <c r="BW32" s="58"/>
      <c r="BX32" s="58"/>
      <c r="BY32" s="58"/>
      <c r="BZ32" s="58"/>
      <c r="CA32" s="58"/>
      <c r="CB32" s="58"/>
      <c r="CC32" s="58"/>
      <c r="CD32" s="58"/>
      <c r="CE32" s="58"/>
      <c r="CF32" s="58"/>
      <c r="CG32" s="58"/>
      <c r="CH32" s="58"/>
      <c r="CI32" s="58"/>
      <c r="CJ32" s="58"/>
      <c r="CK32" s="58"/>
      <c r="CL32" s="58"/>
      <c r="CM32" s="58"/>
      <c r="CN32" s="58"/>
      <c r="CO32" s="58"/>
      <c r="CP32" s="58"/>
      <c r="CQ32" s="58"/>
      <c r="CR32" s="58"/>
      <c r="CS32" s="58"/>
      <c r="CT32" s="58"/>
      <c r="CU32" s="58"/>
      <c r="CV32" s="58"/>
      <c r="CW32" s="58"/>
      <c r="CX32" s="58"/>
      <c r="CY32" s="58"/>
      <c r="CZ32" s="58"/>
      <c r="DA32" s="58"/>
      <c r="DB32" s="58"/>
      <c r="DC32" s="58"/>
      <c r="DD32" s="58"/>
      <c r="DE32" s="58"/>
      <c r="DF32" s="58"/>
      <c r="DG32" s="58"/>
      <c r="DH32" s="58"/>
      <c r="DI32" s="58"/>
      <c r="DJ32" s="58"/>
      <c r="DK32" s="58"/>
      <c r="DL32" s="58"/>
      <c r="DM32" s="58"/>
      <c r="DN32" s="58"/>
      <c r="DO32" s="58"/>
      <c r="DP32" s="58"/>
      <c r="DQ32" s="58"/>
      <c r="DR32" s="58"/>
      <c r="DS32" s="58"/>
      <c r="DT32" s="58"/>
      <c r="DU32" s="58"/>
    </row>
    <row r="33" spans="1:125" ht="56" customHeight="1" x14ac:dyDescent="0.4">
      <c r="A33" s="55"/>
      <c r="B33" s="46" t="s">
        <v>143</v>
      </c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8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58"/>
      <c r="BF33" s="58"/>
      <c r="BG33" s="58"/>
      <c r="BH33" s="58"/>
      <c r="BI33" s="58"/>
      <c r="BJ33" s="58"/>
      <c r="BK33" s="58"/>
      <c r="BL33" s="58"/>
      <c r="BM33" s="58"/>
      <c r="BN33" s="58"/>
      <c r="BO33" s="58"/>
      <c r="BP33" s="58"/>
      <c r="BQ33" s="58"/>
      <c r="BR33" s="58"/>
      <c r="BS33" s="58"/>
      <c r="BT33" s="58"/>
      <c r="BU33" s="58"/>
      <c r="BV33" s="58"/>
      <c r="BW33" s="58"/>
      <c r="BX33" s="58"/>
      <c r="BY33" s="58"/>
      <c r="BZ33" s="58"/>
      <c r="CA33" s="58"/>
      <c r="CB33" s="58"/>
      <c r="CC33" s="58"/>
      <c r="CD33" s="58"/>
      <c r="CE33" s="58"/>
      <c r="CF33" s="58"/>
      <c r="CG33" s="58"/>
      <c r="CH33" s="58"/>
      <c r="CI33" s="58"/>
      <c r="CJ33" s="58"/>
      <c r="CK33" s="58"/>
      <c r="CL33" s="58"/>
      <c r="CM33" s="58"/>
      <c r="CN33" s="58"/>
      <c r="CO33" s="58"/>
      <c r="CP33" s="58"/>
      <c r="CQ33" s="58"/>
      <c r="CR33" s="58"/>
      <c r="CS33" s="58"/>
      <c r="CT33" s="58"/>
      <c r="CU33" s="58"/>
      <c r="CV33" s="58"/>
      <c r="CW33" s="58"/>
      <c r="CX33" s="58"/>
      <c r="CY33" s="58"/>
      <c r="CZ33" s="58"/>
      <c r="DA33" s="58"/>
      <c r="DB33" s="58"/>
      <c r="DC33" s="58"/>
      <c r="DD33" s="58"/>
      <c r="DE33" s="58"/>
      <c r="DF33" s="58"/>
      <c r="DG33" s="58"/>
      <c r="DH33" s="58"/>
      <c r="DI33" s="58"/>
      <c r="DJ33" s="58"/>
      <c r="DK33" s="58"/>
      <c r="DL33" s="58"/>
      <c r="DM33" s="58"/>
      <c r="DN33" s="58"/>
      <c r="DO33" s="58"/>
      <c r="DP33" s="58"/>
      <c r="DQ33" s="58"/>
      <c r="DR33" s="58"/>
      <c r="DS33" s="58"/>
      <c r="DT33" s="58"/>
      <c r="DU33" s="58"/>
    </row>
    <row r="34" spans="1:125" ht="16.05" customHeight="1" x14ac:dyDescent="0.4">
      <c r="A34" s="55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8"/>
      <c r="AQ34" s="58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58"/>
      <c r="BF34" s="58"/>
      <c r="BG34" s="58"/>
      <c r="BH34" s="58"/>
      <c r="BI34" s="58"/>
      <c r="BJ34" s="58"/>
      <c r="BK34" s="58"/>
      <c r="BL34" s="58"/>
      <c r="BM34" s="58"/>
      <c r="BN34" s="58"/>
      <c r="BO34" s="58"/>
      <c r="BP34" s="58"/>
      <c r="BQ34" s="58"/>
      <c r="BR34" s="58"/>
      <c r="BS34" s="58"/>
      <c r="BT34" s="58"/>
      <c r="BU34" s="58"/>
      <c r="BV34" s="58"/>
      <c r="BW34" s="58"/>
      <c r="BX34" s="58"/>
      <c r="BY34" s="58"/>
      <c r="BZ34" s="58"/>
      <c r="CA34" s="58"/>
      <c r="CB34" s="58"/>
      <c r="CC34" s="58"/>
      <c r="CD34" s="58"/>
      <c r="CE34" s="58"/>
      <c r="CF34" s="58"/>
      <c r="CG34" s="58"/>
      <c r="CH34" s="58"/>
      <c r="CI34" s="58"/>
      <c r="CJ34" s="58"/>
      <c r="CK34" s="58"/>
      <c r="CL34" s="58"/>
      <c r="CM34" s="58"/>
      <c r="CN34" s="58"/>
      <c r="CO34" s="58"/>
      <c r="CP34" s="58"/>
      <c r="CQ34" s="58"/>
      <c r="CR34" s="58"/>
      <c r="CS34" s="58"/>
      <c r="CT34" s="58"/>
      <c r="CU34" s="58"/>
      <c r="CV34" s="58"/>
      <c r="CW34" s="58"/>
      <c r="CX34" s="58"/>
      <c r="CY34" s="58"/>
      <c r="CZ34" s="58"/>
      <c r="DA34" s="58"/>
      <c r="DB34" s="58"/>
      <c r="DC34" s="58"/>
      <c r="DD34" s="58"/>
      <c r="DE34" s="58"/>
      <c r="DF34" s="58"/>
      <c r="DG34" s="58"/>
      <c r="DH34" s="58"/>
      <c r="DI34" s="58"/>
      <c r="DJ34" s="58"/>
      <c r="DK34" s="58"/>
      <c r="DL34" s="58"/>
      <c r="DM34" s="58"/>
      <c r="DN34" s="58"/>
      <c r="DO34" s="58"/>
      <c r="DP34" s="58"/>
      <c r="DQ34" s="58"/>
      <c r="DR34" s="58"/>
      <c r="DS34" s="58"/>
      <c r="DT34" s="58"/>
      <c r="DU34" s="58"/>
    </row>
    <row r="35" spans="1:125" ht="16.05" customHeight="1" x14ac:dyDescent="0.4">
      <c r="A35" s="55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58"/>
      <c r="AT35" s="58"/>
      <c r="AU35" s="58"/>
      <c r="AV35" s="58"/>
      <c r="AW35" s="58"/>
      <c r="AX35" s="58"/>
      <c r="AY35" s="58"/>
      <c r="AZ35" s="58"/>
      <c r="BA35" s="58"/>
      <c r="BB35" s="58"/>
      <c r="BC35" s="58"/>
      <c r="BD35" s="58"/>
      <c r="BE35" s="58"/>
      <c r="BF35" s="58"/>
      <c r="BG35" s="58"/>
      <c r="BH35" s="58"/>
      <c r="BI35" s="58"/>
      <c r="BJ35" s="58"/>
      <c r="BK35" s="58"/>
      <c r="BL35" s="58"/>
      <c r="BM35" s="58"/>
      <c r="BN35" s="58"/>
      <c r="BO35" s="58"/>
      <c r="BP35" s="58"/>
      <c r="BQ35" s="58"/>
      <c r="BR35" s="58"/>
      <c r="BS35" s="58"/>
      <c r="BT35" s="58"/>
      <c r="BU35" s="58"/>
      <c r="BV35" s="58"/>
      <c r="BW35" s="58"/>
      <c r="BX35" s="58"/>
      <c r="BY35" s="58"/>
      <c r="BZ35" s="58"/>
      <c r="CA35" s="58"/>
      <c r="CB35" s="58"/>
      <c r="CC35" s="58"/>
      <c r="CD35" s="58"/>
      <c r="CE35" s="58"/>
      <c r="CF35" s="58"/>
      <c r="CG35" s="58"/>
      <c r="CH35" s="58"/>
      <c r="CI35" s="58"/>
      <c r="CJ35" s="58"/>
      <c r="CK35" s="58"/>
      <c r="CL35" s="58"/>
      <c r="CM35" s="58"/>
      <c r="CN35" s="58"/>
      <c r="CO35" s="58"/>
      <c r="CP35" s="58"/>
      <c r="CQ35" s="58"/>
      <c r="CR35" s="58"/>
      <c r="CS35" s="58"/>
      <c r="CT35" s="58"/>
      <c r="CU35" s="58"/>
      <c r="CV35" s="58"/>
      <c r="CW35" s="58"/>
      <c r="CX35" s="58"/>
      <c r="CY35" s="58"/>
      <c r="CZ35" s="58"/>
      <c r="DA35" s="58"/>
      <c r="DB35" s="58"/>
      <c r="DC35" s="58"/>
      <c r="DD35" s="58"/>
      <c r="DE35" s="58"/>
      <c r="DF35" s="58"/>
      <c r="DG35" s="58"/>
      <c r="DH35" s="58"/>
      <c r="DI35" s="58"/>
      <c r="DJ35" s="58"/>
      <c r="DK35" s="58"/>
      <c r="DL35" s="58"/>
      <c r="DM35" s="58"/>
      <c r="DN35" s="58"/>
      <c r="DO35" s="58"/>
      <c r="DP35" s="58"/>
      <c r="DQ35" s="58"/>
      <c r="DR35" s="58"/>
      <c r="DS35" s="58"/>
      <c r="DT35" s="58"/>
      <c r="DU35" s="58"/>
    </row>
    <row r="36" spans="1:125" ht="16.05" customHeight="1" x14ac:dyDescent="0.4">
      <c r="A36" s="55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8"/>
      <c r="AR36" s="58"/>
      <c r="AS36" s="58"/>
      <c r="AT36" s="58"/>
      <c r="AU36" s="58"/>
      <c r="AV36" s="58"/>
      <c r="AW36" s="58"/>
      <c r="AX36" s="58"/>
      <c r="AY36" s="58"/>
      <c r="AZ36" s="58"/>
      <c r="BA36" s="58"/>
      <c r="BB36" s="58"/>
      <c r="BC36" s="58"/>
      <c r="BD36" s="58"/>
      <c r="BE36" s="58"/>
      <c r="BF36" s="58"/>
      <c r="BG36" s="58"/>
      <c r="BH36" s="58"/>
      <c r="BI36" s="58"/>
      <c r="BJ36" s="58"/>
      <c r="BK36" s="58"/>
      <c r="BL36" s="58"/>
      <c r="BM36" s="58"/>
      <c r="BN36" s="58"/>
      <c r="BO36" s="58"/>
      <c r="BP36" s="58"/>
      <c r="BQ36" s="58"/>
      <c r="BR36" s="58"/>
      <c r="BS36" s="58"/>
      <c r="BT36" s="58"/>
      <c r="BU36" s="58"/>
      <c r="BV36" s="58"/>
      <c r="BW36" s="58"/>
      <c r="BX36" s="58"/>
      <c r="BY36" s="58"/>
      <c r="BZ36" s="58"/>
      <c r="CA36" s="58"/>
      <c r="CB36" s="58"/>
      <c r="CC36" s="58"/>
      <c r="CD36" s="58"/>
      <c r="CE36" s="58"/>
      <c r="CF36" s="58"/>
      <c r="CG36" s="58"/>
      <c r="CH36" s="58"/>
      <c r="CI36" s="58"/>
      <c r="CJ36" s="58"/>
      <c r="CK36" s="58"/>
      <c r="CL36" s="58"/>
      <c r="CM36" s="58"/>
      <c r="CN36" s="58"/>
      <c r="CO36" s="58"/>
      <c r="CP36" s="58"/>
      <c r="CQ36" s="58"/>
      <c r="CR36" s="58"/>
      <c r="CS36" s="58"/>
      <c r="CT36" s="58"/>
      <c r="CU36" s="58"/>
      <c r="CV36" s="58"/>
      <c r="CW36" s="58"/>
      <c r="CX36" s="58"/>
      <c r="CY36" s="58"/>
      <c r="CZ36" s="58"/>
      <c r="DA36" s="58"/>
      <c r="DB36" s="58"/>
      <c r="DC36" s="58"/>
      <c r="DD36" s="58"/>
      <c r="DE36" s="58"/>
      <c r="DF36" s="58"/>
      <c r="DG36" s="58"/>
      <c r="DH36" s="58"/>
      <c r="DI36" s="58"/>
      <c r="DJ36" s="58"/>
      <c r="DK36" s="58"/>
      <c r="DL36" s="58"/>
      <c r="DM36" s="58"/>
      <c r="DN36" s="58"/>
      <c r="DO36" s="58"/>
      <c r="DP36" s="58"/>
      <c r="DQ36" s="58"/>
      <c r="DR36" s="58"/>
      <c r="DS36" s="58"/>
      <c r="DT36" s="58"/>
      <c r="DU36" s="58"/>
    </row>
    <row r="37" spans="1:125" ht="6" customHeight="1" x14ac:dyDescent="0.4">
      <c r="A37" s="55"/>
      <c r="B37" s="55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8"/>
      <c r="BL37" s="58"/>
      <c r="BM37" s="58"/>
      <c r="BN37" s="58"/>
      <c r="BO37" s="58"/>
      <c r="BP37" s="58"/>
      <c r="BQ37" s="58"/>
      <c r="BR37" s="58"/>
      <c r="BS37" s="58"/>
      <c r="BT37" s="58"/>
      <c r="BU37" s="58"/>
      <c r="BV37" s="58"/>
      <c r="BW37" s="58"/>
      <c r="BX37" s="58"/>
      <c r="BY37" s="58"/>
      <c r="BZ37" s="58"/>
      <c r="CA37" s="58"/>
      <c r="CB37" s="58"/>
      <c r="CC37" s="58"/>
      <c r="CD37" s="58"/>
      <c r="CE37" s="58"/>
      <c r="CF37" s="58"/>
      <c r="CG37" s="58"/>
      <c r="CH37" s="58"/>
      <c r="CI37" s="58"/>
      <c r="CJ37" s="58"/>
      <c r="CK37" s="58"/>
      <c r="CL37" s="58"/>
      <c r="CM37" s="58"/>
      <c r="CN37" s="58"/>
      <c r="CO37" s="58"/>
      <c r="CP37" s="58"/>
      <c r="CQ37" s="58"/>
      <c r="CR37" s="58"/>
      <c r="CS37" s="58"/>
      <c r="CT37" s="58"/>
      <c r="CU37" s="58"/>
      <c r="CV37" s="58"/>
      <c r="CW37" s="58"/>
      <c r="CX37" s="58"/>
      <c r="CY37" s="58"/>
      <c r="CZ37" s="58"/>
      <c r="DA37" s="58"/>
      <c r="DB37" s="58"/>
      <c r="DC37" s="58"/>
      <c r="DD37" s="58"/>
      <c r="DE37" s="58"/>
      <c r="DF37" s="58"/>
      <c r="DG37" s="58"/>
      <c r="DH37" s="58"/>
      <c r="DI37" s="58"/>
      <c r="DJ37" s="58"/>
      <c r="DK37" s="58"/>
      <c r="DL37" s="58"/>
      <c r="DM37" s="58"/>
      <c r="DN37" s="58"/>
      <c r="DO37" s="58"/>
      <c r="DP37" s="58"/>
      <c r="DQ37" s="58"/>
      <c r="DR37" s="58"/>
      <c r="DS37" s="58"/>
      <c r="DT37" s="58"/>
      <c r="DU37" s="58"/>
    </row>
    <row r="38" spans="1:125" ht="22.05" customHeight="1" x14ac:dyDescent="0.5">
      <c r="A38" s="55"/>
      <c r="B38" s="50" t="s">
        <v>144</v>
      </c>
      <c r="C38" s="49"/>
      <c r="D38" s="49"/>
      <c r="E38" s="49"/>
      <c r="F38" s="49"/>
      <c r="G38" s="49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  <c r="AL38" s="58"/>
      <c r="AM38" s="58"/>
      <c r="AN38" s="58"/>
      <c r="AO38" s="58"/>
      <c r="AP38" s="58"/>
      <c r="AQ38" s="58"/>
      <c r="AR38" s="58"/>
      <c r="AS38" s="58"/>
      <c r="AT38" s="58"/>
      <c r="AU38" s="58"/>
      <c r="AV38" s="58"/>
      <c r="AW38" s="58"/>
      <c r="AX38" s="58"/>
      <c r="AY38" s="58"/>
      <c r="AZ38" s="58"/>
      <c r="BA38" s="58"/>
      <c r="BB38" s="58"/>
      <c r="BC38" s="58"/>
      <c r="BD38" s="58"/>
      <c r="BE38" s="58"/>
      <c r="BF38" s="58"/>
      <c r="BG38" s="58"/>
      <c r="BH38" s="58"/>
      <c r="BI38" s="58"/>
      <c r="BJ38" s="58"/>
      <c r="BK38" s="58"/>
      <c r="BL38" s="58"/>
      <c r="BM38" s="58"/>
      <c r="BN38" s="58"/>
      <c r="BO38" s="58"/>
      <c r="BP38" s="58"/>
      <c r="BQ38" s="58"/>
      <c r="BR38" s="58"/>
      <c r="BS38" s="58"/>
      <c r="BT38" s="58"/>
      <c r="BU38" s="58"/>
      <c r="BV38" s="58"/>
      <c r="BW38" s="58"/>
      <c r="BX38" s="58"/>
      <c r="BY38" s="58"/>
      <c r="BZ38" s="58"/>
      <c r="CA38" s="58"/>
      <c r="CB38" s="58"/>
      <c r="CC38" s="58"/>
      <c r="CD38" s="58"/>
      <c r="CE38" s="58"/>
      <c r="CF38" s="58"/>
      <c r="CG38" s="58"/>
      <c r="CH38" s="58"/>
      <c r="CI38" s="58"/>
      <c r="CJ38" s="58"/>
      <c r="CK38" s="58"/>
      <c r="CL38" s="58"/>
      <c r="CM38" s="58"/>
      <c r="CN38" s="58"/>
      <c r="CO38" s="58"/>
      <c r="CP38" s="58"/>
      <c r="CQ38" s="58"/>
      <c r="CR38" s="58"/>
      <c r="CS38" s="58"/>
      <c r="CT38" s="58"/>
      <c r="CU38" s="58"/>
      <c r="CV38" s="58"/>
      <c r="CW38" s="58"/>
      <c r="CX38" s="58"/>
      <c r="CY38" s="58"/>
      <c r="CZ38" s="58"/>
      <c r="DA38" s="58"/>
      <c r="DB38" s="58"/>
      <c r="DC38" s="58"/>
      <c r="DD38" s="58"/>
      <c r="DE38" s="58"/>
      <c r="DF38" s="58"/>
      <c r="DG38" s="58"/>
      <c r="DH38" s="58"/>
      <c r="DI38" s="58"/>
      <c r="DJ38" s="58"/>
      <c r="DK38" s="58"/>
      <c r="DL38" s="58"/>
      <c r="DM38" s="58"/>
      <c r="DN38" s="58"/>
      <c r="DO38" s="58"/>
      <c r="DP38" s="58"/>
      <c r="DQ38" s="58"/>
      <c r="DR38" s="58"/>
      <c r="DS38" s="58"/>
      <c r="DT38" s="58"/>
      <c r="DU38" s="58"/>
    </row>
    <row r="39" spans="1:125" ht="18" customHeight="1" x14ac:dyDescent="0.4">
      <c r="A39" s="55"/>
      <c r="B39" s="44" t="s">
        <v>145</v>
      </c>
      <c r="C39" s="45">
        <f>C27-ACQUISITION_COST*(1+ACQUISITION_TAX_RATE)</f>
        <v>-1950000</v>
      </c>
      <c r="D39" s="45">
        <f t="shared" ref="D39:AI39" si="40">D24-D14-D17+D18-D29-D30-IF(D7=TARGET_EXIT_MONTH,D28,0)</f>
        <v>-47266.062534929108</v>
      </c>
      <c r="E39" s="45">
        <f t="shared" si="40"/>
        <v>-47266.062534929108</v>
      </c>
      <c r="F39" s="45">
        <f t="shared" si="40"/>
        <v>-47266.062534929108</v>
      </c>
      <c r="G39" s="45">
        <f t="shared" si="40"/>
        <v>-47266.062534929108</v>
      </c>
      <c r="H39" s="45">
        <f t="shared" si="40"/>
        <v>-47266.062534929108</v>
      </c>
      <c r="I39" s="45">
        <f t="shared" si="40"/>
        <v>-47266.062534929108</v>
      </c>
      <c r="J39" s="45">
        <f t="shared" si="40"/>
        <v>-47266.062534929108</v>
      </c>
      <c r="K39" s="45">
        <f t="shared" si="40"/>
        <v>-47266.062534929108</v>
      </c>
      <c r="L39" s="45">
        <f t="shared" si="40"/>
        <v>-47266.062534929108</v>
      </c>
      <c r="M39" s="45">
        <f t="shared" si="40"/>
        <v>-47266.062534929108</v>
      </c>
      <c r="N39" s="45">
        <f t="shared" si="40"/>
        <v>-47266.062534929108</v>
      </c>
      <c r="O39" s="45">
        <f t="shared" si="40"/>
        <v>-46866.350034929113</v>
      </c>
      <c r="P39" s="45">
        <f t="shared" si="40"/>
        <v>-46866.350034929106</v>
      </c>
      <c r="Q39" s="45">
        <f t="shared" si="40"/>
        <v>-46866.350034929106</v>
      </c>
      <c r="R39" s="45">
        <f t="shared" si="40"/>
        <v>-46866.350034929099</v>
      </c>
      <c r="S39" s="45">
        <f t="shared" si="40"/>
        <v>-46866.350034929106</v>
      </c>
      <c r="T39" s="45">
        <f t="shared" si="40"/>
        <v>-46866.350034929106</v>
      </c>
      <c r="U39" s="45">
        <f t="shared" si="40"/>
        <v>-46866.350034929106</v>
      </c>
      <c r="V39" s="45">
        <f t="shared" si="40"/>
        <v>-46866.350034929106</v>
      </c>
      <c r="W39" s="45">
        <f t="shared" si="40"/>
        <v>-46866.350034929106</v>
      </c>
      <c r="X39" s="45">
        <f t="shared" si="40"/>
        <v>-46866.350034929106</v>
      </c>
      <c r="Y39" s="45">
        <f t="shared" si="40"/>
        <v>-46866.350034929106</v>
      </c>
      <c r="Z39" s="45">
        <f t="shared" si="40"/>
        <v>-46866.350034929106</v>
      </c>
      <c r="AA39" s="45">
        <f t="shared" si="40"/>
        <v>-46454.646159929107</v>
      </c>
      <c r="AB39" s="45">
        <f t="shared" si="40"/>
        <v>-46454.646159929107</v>
      </c>
      <c r="AC39" s="45">
        <f t="shared" si="40"/>
        <v>-46454.646159929107</v>
      </c>
      <c r="AD39" s="45">
        <f t="shared" si="40"/>
        <v>-46454.646159929107</v>
      </c>
      <c r="AE39" s="45">
        <f t="shared" si="40"/>
        <v>-46454.646159929107</v>
      </c>
      <c r="AF39" s="45">
        <f t="shared" si="40"/>
        <v>-46454.646159929107</v>
      </c>
      <c r="AG39" s="45">
        <f t="shared" si="40"/>
        <v>-46454.646159929107</v>
      </c>
      <c r="AH39" s="45">
        <f t="shared" si="40"/>
        <v>-46454.646159929107</v>
      </c>
      <c r="AI39" s="45">
        <f t="shared" si="40"/>
        <v>-46454.646159929107</v>
      </c>
      <c r="AJ39" s="45">
        <f t="shared" ref="AJ39:BO39" si="41">AJ24-AJ14-AJ17+AJ18-AJ29-AJ30-IF(AJ7=TARGET_EXIT_MONTH,AJ28,0)</f>
        <v>-46454.646159929107</v>
      </c>
      <c r="AK39" s="45">
        <f t="shared" si="41"/>
        <v>-46454.646159929107</v>
      </c>
      <c r="AL39" s="45">
        <f t="shared" si="41"/>
        <v>-46454.646159929107</v>
      </c>
      <c r="AM39" s="45">
        <f t="shared" si="41"/>
        <v>1439037.2738417923</v>
      </c>
      <c r="AN39" s="45">
        <f t="shared" si="41"/>
        <v>-60589.812534929108</v>
      </c>
      <c r="AO39" s="45">
        <f t="shared" si="41"/>
        <v>-60589.812534929108</v>
      </c>
      <c r="AP39" s="45">
        <f t="shared" si="41"/>
        <v>-60589.812534929108</v>
      </c>
      <c r="AQ39" s="45">
        <f t="shared" si="41"/>
        <v>-60589.812534929108</v>
      </c>
      <c r="AR39" s="45">
        <f t="shared" si="41"/>
        <v>-60589.812534929108</v>
      </c>
      <c r="AS39" s="45">
        <f t="shared" si="41"/>
        <v>-60589.812534929108</v>
      </c>
      <c r="AT39" s="45">
        <f t="shared" si="41"/>
        <v>-60589.812534929108</v>
      </c>
      <c r="AU39" s="45">
        <f t="shared" si="41"/>
        <v>-60589.812534929108</v>
      </c>
      <c r="AV39" s="45">
        <f t="shared" si="41"/>
        <v>-60589.812534929108</v>
      </c>
      <c r="AW39" s="45">
        <f t="shared" si="41"/>
        <v>-60589.812534929108</v>
      </c>
      <c r="AX39" s="45">
        <f t="shared" si="41"/>
        <v>-60589.812534929108</v>
      </c>
      <c r="AY39" s="45">
        <f t="shared" si="41"/>
        <v>-60589.812534929108</v>
      </c>
      <c r="AZ39" s="45">
        <f t="shared" si="41"/>
        <v>-60589.812534929108</v>
      </c>
      <c r="BA39" s="45">
        <f t="shared" si="41"/>
        <v>-60589.812534929108</v>
      </c>
      <c r="BB39" s="45">
        <f t="shared" si="41"/>
        <v>-60589.812534929108</v>
      </c>
      <c r="BC39" s="45">
        <f t="shared" si="41"/>
        <v>-60589.812534929108</v>
      </c>
      <c r="BD39" s="45">
        <f t="shared" si="41"/>
        <v>-60589.812534929108</v>
      </c>
      <c r="BE39" s="45">
        <f t="shared" si="41"/>
        <v>-60589.812534929108</v>
      </c>
      <c r="BF39" s="45">
        <f t="shared" si="41"/>
        <v>-60589.812534929108</v>
      </c>
      <c r="BG39" s="45">
        <f t="shared" si="41"/>
        <v>-60589.812534929108</v>
      </c>
      <c r="BH39" s="45">
        <f t="shared" si="41"/>
        <v>-60589.812534929108</v>
      </c>
      <c r="BI39" s="45">
        <f t="shared" si="41"/>
        <v>-60589.812534929108</v>
      </c>
      <c r="BJ39" s="45">
        <f t="shared" si="41"/>
        <v>-60589.812534929108</v>
      </c>
      <c r="BK39" s="45">
        <f t="shared" si="41"/>
        <v>-60589.812534929108</v>
      </c>
      <c r="BL39" s="45">
        <f t="shared" si="41"/>
        <v>0</v>
      </c>
      <c r="BM39" s="45">
        <f t="shared" si="41"/>
        <v>0</v>
      </c>
      <c r="BN39" s="45">
        <f t="shared" si="41"/>
        <v>0</v>
      </c>
      <c r="BO39" s="45">
        <f t="shared" si="41"/>
        <v>0</v>
      </c>
      <c r="BP39" s="45">
        <f t="shared" ref="BP39:CU39" si="42">BP24-BP14-BP17+BP18-BP29-BP30-IF(BP7=TARGET_EXIT_MONTH,BP28,0)</f>
        <v>0</v>
      </c>
      <c r="BQ39" s="45">
        <f t="shared" si="42"/>
        <v>0</v>
      </c>
      <c r="BR39" s="45">
        <f t="shared" si="42"/>
        <v>0</v>
      </c>
      <c r="BS39" s="45">
        <f t="shared" si="42"/>
        <v>0</v>
      </c>
      <c r="BT39" s="45">
        <f t="shared" si="42"/>
        <v>0</v>
      </c>
      <c r="BU39" s="45">
        <f t="shared" si="42"/>
        <v>0</v>
      </c>
      <c r="BV39" s="45">
        <f t="shared" si="42"/>
        <v>0</v>
      </c>
      <c r="BW39" s="45">
        <f t="shared" si="42"/>
        <v>0</v>
      </c>
      <c r="BX39" s="45">
        <f t="shared" si="42"/>
        <v>0</v>
      </c>
      <c r="BY39" s="45">
        <f t="shared" si="42"/>
        <v>0</v>
      </c>
      <c r="BZ39" s="45">
        <f t="shared" si="42"/>
        <v>0</v>
      </c>
      <c r="CA39" s="45">
        <f t="shared" si="42"/>
        <v>0</v>
      </c>
      <c r="CB39" s="45">
        <f t="shared" si="42"/>
        <v>0</v>
      </c>
      <c r="CC39" s="45">
        <f t="shared" si="42"/>
        <v>0</v>
      </c>
      <c r="CD39" s="45">
        <f t="shared" si="42"/>
        <v>0</v>
      </c>
      <c r="CE39" s="45">
        <f t="shared" si="42"/>
        <v>0</v>
      </c>
      <c r="CF39" s="45">
        <f t="shared" si="42"/>
        <v>0</v>
      </c>
      <c r="CG39" s="45">
        <f t="shared" si="42"/>
        <v>0</v>
      </c>
      <c r="CH39" s="45">
        <f t="shared" si="42"/>
        <v>0</v>
      </c>
      <c r="CI39" s="45">
        <f t="shared" si="42"/>
        <v>0</v>
      </c>
      <c r="CJ39" s="45">
        <f t="shared" si="42"/>
        <v>0</v>
      </c>
      <c r="CK39" s="45">
        <f t="shared" si="42"/>
        <v>0</v>
      </c>
      <c r="CL39" s="45">
        <f t="shared" si="42"/>
        <v>0</v>
      </c>
      <c r="CM39" s="45">
        <f t="shared" si="42"/>
        <v>0</v>
      </c>
      <c r="CN39" s="45">
        <f t="shared" si="42"/>
        <v>0</v>
      </c>
      <c r="CO39" s="45">
        <f t="shared" si="42"/>
        <v>0</v>
      </c>
      <c r="CP39" s="45">
        <f t="shared" si="42"/>
        <v>0</v>
      </c>
      <c r="CQ39" s="45">
        <f t="shared" si="42"/>
        <v>0</v>
      </c>
      <c r="CR39" s="45">
        <f t="shared" si="42"/>
        <v>0</v>
      </c>
      <c r="CS39" s="45">
        <f t="shared" si="42"/>
        <v>0</v>
      </c>
      <c r="CT39" s="45">
        <f t="shared" si="42"/>
        <v>0</v>
      </c>
      <c r="CU39" s="45">
        <f t="shared" si="42"/>
        <v>0</v>
      </c>
      <c r="CV39" s="45">
        <f t="shared" ref="CV39:DS39" si="43">CV24-CV14-CV17+CV18-CV29-CV30-IF(CV7=TARGET_EXIT_MONTH,CV28,0)</f>
        <v>0</v>
      </c>
      <c r="CW39" s="45">
        <f t="shared" si="43"/>
        <v>0</v>
      </c>
      <c r="CX39" s="45">
        <f t="shared" si="43"/>
        <v>0</v>
      </c>
      <c r="CY39" s="45">
        <f t="shared" si="43"/>
        <v>0</v>
      </c>
      <c r="CZ39" s="45">
        <f t="shared" si="43"/>
        <v>0</v>
      </c>
      <c r="DA39" s="45">
        <f t="shared" si="43"/>
        <v>0</v>
      </c>
      <c r="DB39" s="45">
        <f t="shared" si="43"/>
        <v>0</v>
      </c>
      <c r="DC39" s="45">
        <f t="shared" si="43"/>
        <v>0</v>
      </c>
      <c r="DD39" s="45">
        <f t="shared" si="43"/>
        <v>0</v>
      </c>
      <c r="DE39" s="45">
        <f t="shared" si="43"/>
        <v>0</v>
      </c>
      <c r="DF39" s="45">
        <f t="shared" si="43"/>
        <v>0</v>
      </c>
      <c r="DG39" s="45">
        <f t="shared" si="43"/>
        <v>0</v>
      </c>
      <c r="DH39" s="45">
        <f t="shared" si="43"/>
        <v>0</v>
      </c>
      <c r="DI39" s="45">
        <f t="shared" si="43"/>
        <v>0</v>
      </c>
      <c r="DJ39" s="45">
        <f t="shared" si="43"/>
        <v>0</v>
      </c>
      <c r="DK39" s="45">
        <f t="shared" si="43"/>
        <v>0</v>
      </c>
      <c r="DL39" s="45">
        <f t="shared" si="43"/>
        <v>0</v>
      </c>
      <c r="DM39" s="45">
        <f t="shared" si="43"/>
        <v>0</v>
      </c>
      <c r="DN39" s="45">
        <f t="shared" si="43"/>
        <v>0</v>
      </c>
      <c r="DO39" s="45">
        <f t="shared" si="43"/>
        <v>0</v>
      </c>
      <c r="DP39" s="45">
        <f t="shared" si="43"/>
        <v>0</v>
      </c>
      <c r="DQ39" s="45">
        <f t="shared" si="43"/>
        <v>0</v>
      </c>
      <c r="DR39" s="45">
        <f t="shared" si="43"/>
        <v>0</v>
      </c>
      <c r="DS39" s="45">
        <f t="shared" si="43"/>
        <v>0</v>
      </c>
      <c r="DT39" s="58"/>
      <c r="DU39" s="58"/>
    </row>
    <row r="40" spans="1:125" x14ac:dyDescent="0.4">
      <c r="A40" s="55"/>
      <c r="B40" s="55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8"/>
      <c r="AL40" s="58"/>
      <c r="AM40" s="58"/>
      <c r="AN40" s="58"/>
      <c r="AO40" s="58"/>
      <c r="AP40" s="58"/>
      <c r="AQ40" s="58"/>
      <c r="AR40" s="58"/>
      <c r="AS40" s="58"/>
      <c r="AT40" s="58"/>
      <c r="AU40" s="58"/>
      <c r="AV40" s="58"/>
      <c r="AW40" s="58"/>
      <c r="AX40" s="58"/>
      <c r="AY40" s="58"/>
      <c r="AZ40" s="58"/>
      <c r="BA40" s="58"/>
      <c r="BB40" s="58"/>
      <c r="BC40" s="58"/>
      <c r="BD40" s="58"/>
      <c r="BE40" s="58"/>
      <c r="BF40" s="58"/>
      <c r="BG40" s="58"/>
      <c r="BH40" s="58"/>
      <c r="BI40" s="58"/>
      <c r="BJ40" s="58"/>
      <c r="BK40" s="58"/>
      <c r="BL40" s="58"/>
      <c r="BM40" s="58"/>
      <c r="BN40" s="58"/>
      <c r="BO40" s="58"/>
      <c r="BP40" s="58"/>
      <c r="BQ40" s="58"/>
      <c r="BR40" s="58"/>
      <c r="BS40" s="58"/>
      <c r="BT40" s="58"/>
      <c r="BU40" s="58"/>
      <c r="BV40" s="58"/>
      <c r="BW40" s="58"/>
      <c r="BX40" s="58"/>
      <c r="BY40" s="58"/>
      <c r="BZ40" s="58"/>
      <c r="CA40" s="58"/>
      <c r="CB40" s="58"/>
      <c r="CC40" s="58"/>
      <c r="CD40" s="58"/>
      <c r="CE40" s="58"/>
      <c r="CF40" s="58"/>
      <c r="CG40" s="58"/>
      <c r="CH40" s="58"/>
      <c r="CI40" s="58"/>
      <c r="CJ40" s="58"/>
      <c r="CK40" s="58"/>
      <c r="CL40" s="58"/>
      <c r="CM40" s="58"/>
      <c r="CN40" s="58"/>
      <c r="CO40" s="58"/>
      <c r="CP40" s="58"/>
      <c r="CQ40" s="58"/>
      <c r="CR40" s="58"/>
      <c r="CS40" s="58"/>
      <c r="CT40" s="58"/>
      <c r="CU40" s="58"/>
      <c r="CV40" s="58"/>
      <c r="CW40" s="58"/>
      <c r="CX40" s="58"/>
      <c r="CY40" s="58"/>
      <c r="CZ40" s="58"/>
      <c r="DA40" s="58"/>
      <c r="DB40" s="58"/>
      <c r="DC40" s="58"/>
      <c r="DD40" s="58"/>
      <c r="DE40" s="58"/>
      <c r="DF40" s="58"/>
      <c r="DG40" s="58"/>
      <c r="DH40" s="58"/>
      <c r="DI40" s="58"/>
      <c r="DJ40" s="58"/>
      <c r="DK40" s="58"/>
      <c r="DL40" s="58"/>
      <c r="DM40" s="58"/>
      <c r="DN40" s="58"/>
      <c r="DO40" s="58"/>
      <c r="DP40" s="58"/>
      <c r="DQ40" s="58"/>
      <c r="DR40" s="58"/>
      <c r="DS40" s="58"/>
      <c r="DT40" s="58"/>
      <c r="DU40" s="58"/>
    </row>
    <row r="41" spans="1:125" x14ac:dyDescent="0.4">
      <c r="A41" s="55"/>
      <c r="B41" s="55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  <c r="BD41" s="58"/>
      <c r="BE41" s="58"/>
      <c r="BF41" s="58"/>
      <c r="BG41" s="58"/>
      <c r="BH41" s="58"/>
      <c r="BI41" s="58"/>
      <c r="BJ41" s="58"/>
      <c r="BK41" s="58"/>
      <c r="BL41" s="58"/>
      <c r="BM41" s="58"/>
      <c r="BN41" s="58"/>
      <c r="BO41" s="58"/>
      <c r="BP41" s="58"/>
      <c r="BQ41" s="58"/>
      <c r="BR41" s="58"/>
      <c r="BS41" s="58"/>
      <c r="BT41" s="58"/>
      <c r="BU41" s="58"/>
      <c r="BV41" s="58"/>
      <c r="BW41" s="58"/>
      <c r="BX41" s="58"/>
      <c r="BY41" s="58"/>
      <c r="BZ41" s="58"/>
      <c r="CA41" s="58"/>
      <c r="CB41" s="58"/>
      <c r="CC41" s="58"/>
      <c r="CD41" s="58"/>
      <c r="CE41" s="58"/>
      <c r="CF41" s="58"/>
      <c r="CG41" s="58"/>
      <c r="CH41" s="58"/>
      <c r="CI41" s="58"/>
      <c r="CJ41" s="58"/>
      <c r="CK41" s="58"/>
      <c r="CL41" s="58"/>
      <c r="CM41" s="58"/>
      <c r="CN41" s="58"/>
      <c r="CO41" s="58"/>
      <c r="CP41" s="58"/>
      <c r="CQ41" s="58"/>
      <c r="CR41" s="58"/>
      <c r="CS41" s="58"/>
      <c r="CT41" s="58"/>
      <c r="CU41" s="58"/>
      <c r="CV41" s="58"/>
      <c r="CW41" s="58"/>
      <c r="CX41" s="58"/>
      <c r="CY41" s="58"/>
      <c r="CZ41" s="58"/>
      <c r="DA41" s="58"/>
      <c r="DB41" s="58"/>
      <c r="DC41" s="58"/>
      <c r="DD41" s="58"/>
      <c r="DE41" s="58"/>
      <c r="DF41" s="58"/>
      <c r="DG41" s="58"/>
      <c r="DH41" s="58"/>
      <c r="DI41" s="58"/>
      <c r="DJ41" s="58"/>
      <c r="DK41" s="58"/>
      <c r="DL41" s="58"/>
      <c r="DM41" s="58"/>
      <c r="DN41" s="58"/>
      <c r="DO41" s="58"/>
      <c r="DP41" s="58"/>
      <c r="DQ41" s="58"/>
      <c r="DR41" s="58"/>
      <c r="DS41" s="58"/>
      <c r="DT41" s="58"/>
      <c r="DU41" s="58"/>
    </row>
    <row r="42" spans="1:125" x14ac:dyDescent="0.4">
      <c r="A42" s="55"/>
      <c r="B42" s="55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58"/>
      <c r="AL42" s="58"/>
      <c r="AM42" s="58"/>
      <c r="AN42" s="58"/>
      <c r="AO42" s="58"/>
      <c r="AP42" s="58"/>
      <c r="AQ42" s="58"/>
      <c r="AR42" s="58"/>
      <c r="AS42" s="58"/>
      <c r="AT42" s="58"/>
      <c r="AU42" s="58"/>
      <c r="AV42" s="58"/>
      <c r="AW42" s="58"/>
      <c r="AX42" s="58"/>
      <c r="AY42" s="58"/>
      <c r="AZ42" s="58"/>
      <c r="BA42" s="58"/>
      <c r="BB42" s="58"/>
      <c r="BC42" s="58"/>
      <c r="BD42" s="58"/>
      <c r="BE42" s="58"/>
      <c r="BF42" s="58"/>
      <c r="BG42" s="58"/>
      <c r="BH42" s="58"/>
      <c r="BI42" s="58"/>
      <c r="BJ42" s="58"/>
      <c r="BK42" s="58"/>
      <c r="BL42" s="58"/>
      <c r="BM42" s="58"/>
      <c r="BN42" s="58"/>
      <c r="BO42" s="58"/>
      <c r="BP42" s="58"/>
      <c r="BQ42" s="58"/>
      <c r="BR42" s="58"/>
      <c r="BS42" s="58"/>
      <c r="BT42" s="58"/>
      <c r="BU42" s="58"/>
      <c r="BV42" s="58"/>
      <c r="BW42" s="58"/>
      <c r="BX42" s="58"/>
      <c r="BY42" s="58"/>
      <c r="BZ42" s="58"/>
      <c r="CA42" s="58"/>
      <c r="CB42" s="58"/>
      <c r="CC42" s="58"/>
      <c r="CD42" s="58"/>
      <c r="CE42" s="58"/>
      <c r="CF42" s="58"/>
      <c r="CG42" s="58"/>
      <c r="CH42" s="58"/>
      <c r="CI42" s="58"/>
      <c r="CJ42" s="58"/>
      <c r="CK42" s="58"/>
      <c r="CL42" s="58"/>
      <c r="CM42" s="58"/>
      <c r="CN42" s="58"/>
      <c r="CO42" s="58"/>
      <c r="CP42" s="58"/>
      <c r="CQ42" s="58"/>
      <c r="CR42" s="58"/>
      <c r="CS42" s="58"/>
      <c r="CT42" s="58"/>
      <c r="CU42" s="58"/>
      <c r="CV42" s="58"/>
      <c r="CW42" s="58"/>
      <c r="CX42" s="58"/>
      <c r="CY42" s="58"/>
      <c r="CZ42" s="58"/>
      <c r="DA42" s="58"/>
      <c r="DB42" s="58"/>
      <c r="DC42" s="58"/>
      <c r="DD42" s="58"/>
      <c r="DE42" s="58"/>
      <c r="DF42" s="58"/>
      <c r="DG42" s="58"/>
      <c r="DH42" s="58"/>
      <c r="DI42" s="58"/>
      <c r="DJ42" s="58"/>
      <c r="DK42" s="58"/>
      <c r="DL42" s="58"/>
      <c r="DM42" s="58"/>
      <c r="DN42" s="58"/>
      <c r="DO42" s="58"/>
      <c r="DP42" s="58"/>
      <c r="DQ42" s="58"/>
      <c r="DR42" s="58"/>
      <c r="DS42" s="58"/>
      <c r="DT42" s="58"/>
      <c r="DU42" s="58"/>
    </row>
    <row r="43" spans="1:125" x14ac:dyDescent="0.4">
      <c r="A43" s="55"/>
      <c r="B43" s="55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58"/>
      <c r="AL43" s="58"/>
      <c r="AM43" s="58"/>
      <c r="AN43" s="58"/>
      <c r="AO43" s="58"/>
      <c r="AP43" s="58"/>
      <c r="AQ43" s="58"/>
      <c r="AR43" s="58"/>
      <c r="AS43" s="58"/>
      <c r="AT43" s="58"/>
      <c r="AU43" s="58"/>
      <c r="AV43" s="58"/>
      <c r="AW43" s="58"/>
      <c r="AX43" s="58"/>
      <c r="AY43" s="58"/>
      <c r="AZ43" s="58"/>
      <c r="BA43" s="58"/>
      <c r="BB43" s="58"/>
      <c r="BC43" s="58"/>
      <c r="BD43" s="58"/>
      <c r="BE43" s="58"/>
      <c r="BF43" s="58"/>
      <c r="BG43" s="58"/>
      <c r="BH43" s="58"/>
      <c r="BI43" s="58"/>
      <c r="BJ43" s="58"/>
      <c r="BK43" s="58"/>
      <c r="BL43" s="58"/>
      <c r="BM43" s="58"/>
      <c r="BN43" s="58"/>
      <c r="BO43" s="58"/>
      <c r="BP43" s="58"/>
      <c r="BQ43" s="58"/>
      <c r="BR43" s="58"/>
      <c r="BS43" s="58"/>
      <c r="BT43" s="58"/>
      <c r="BU43" s="58"/>
      <c r="BV43" s="58"/>
      <c r="BW43" s="58"/>
      <c r="BX43" s="58"/>
      <c r="BY43" s="58"/>
      <c r="BZ43" s="58"/>
      <c r="CA43" s="58"/>
      <c r="CB43" s="58"/>
      <c r="CC43" s="58"/>
      <c r="CD43" s="58"/>
      <c r="CE43" s="58"/>
      <c r="CF43" s="58"/>
      <c r="CG43" s="58"/>
      <c r="CH43" s="58"/>
      <c r="CI43" s="58"/>
      <c r="CJ43" s="58"/>
      <c r="CK43" s="58"/>
      <c r="CL43" s="58"/>
      <c r="CM43" s="58"/>
      <c r="CN43" s="58"/>
      <c r="CO43" s="58"/>
      <c r="CP43" s="58"/>
      <c r="CQ43" s="58"/>
      <c r="CR43" s="58"/>
      <c r="CS43" s="58"/>
      <c r="CT43" s="58"/>
      <c r="CU43" s="58"/>
      <c r="CV43" s="58"/>
      <c r="CW43" s="58"/>
      <c r="CX43" s="58"/>
      <c r="CY43" s="58"/>
      <c r="CZ43" s="58"/>
      <c r="DA43" s="58"/>
      <c r="DB43" s="58"/>
      <c r="DC43" s="58"/>
      <c r="DD43" s="58"/>
      <c r="DE43" s="58"/>
      <c r="DF43" s="58"/>
      <c r="DG43" s="58"/>
      <c r="DH43" s="58"/>
      <c r="DI43" s="58"/>
      <c r="DJ43" s="58"/>
      <c r="DK43" s="58"/>
      <c r="DL43" s="58"/>
      <c r="DM43" s="58"/>
      <c r="DN43" s="58"/>
      <c r="DO43" s="58"/>
      <c r="DP43" s="58"/>
      <c r="DQ43" s="58"/>
      <c r="DR43" s="58"/>
      <c r="DS43" s="58"/>
      <c r="DT43" s="58"/>
      <c r="DU43" s="58"/>
    </row>
    <row r="44" spans="1:125" x14ac:dyDescent="0.4">
      <c r="A44" s="55"/>
      <c r="B44" s="55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58"/>
      <c r="BJ44" s="58"/>
      <c r="BK44" s="58"/>
      <c r="BL44" s="58"/>
      <c r="BM44" s="58"/>
      <c r="BN44" s="58"/>
      <c r="BO44" s="58"/>
      <c r="BP44" s="58"/>
      <c r="BQ44" s="58"/>
      <c r="BR44" s="58"/>
      <c r="BS44" s="58"/>
      <c r="BT44" s="58"/>
      <c r="BU44" s="58"/>
      <c r="BV44" s="58"/>
      <c r="BW44" s="58"/>
      <c r="BX44" s="58"/>
      <c r="BY44" s="58"/>
      <c r="BZ44" s="58"/>
      <c r="CA44" s="58"/>
      <c r="CB44" s="58"/>
      <c r="CC44" s="58"/>
      <c r="CD44" s="58"/>
      <c r="CE44" s="58"/>
      <c r="CF44" s="58"/>
      <c r="CG44" s="58"/>
      <c r="CH44" s="58"/>
      <c r="CI44" s="58"/>
      <c r="CJ44" s="58"/>
      <c r="CK44" s="58"/>
      <c r="CL44" s="58"/>
      <c r="CM44" s="58"/>
      <c r="CN44" s="58"/>
      <c r="CO44" s="58"/>
      <c r="CP44" s="58"/>
      <c r="CQ44" s="58"/>
      <c r="CR44" s="58"/>
      <c r="CS44" s="58"/>
      <c r="CT44" s="58"/>
      <c r="CU44" s="58"/>
      <c r="CV44" s="58"/>
      <c r="CW44" s="58"/>
      <c r="CX44" s="58"/>
      <c r="CY44" s="58"/>
      <c r="CZ44" s="58"/>
      <c r="DA44" s="58"/>
      <c r="DB44" s="58"/>
      <c r="DC44" s="58"/>
      <c r="DD44" s="58"/>
      <c r="DE44" s="58"/>
      <c r="DF44" s="58"/>
      <c r="DG44" s="58"/>
      <c r="DH44" s="58"/>
      <c r="DI44" s="58"/>
      <c r="DJ44" s="58"/>
      <c r="DK44" s="58"/>
      <c r="DL44" s="58"/>
      <c r="DM44" s="58"/>
      <c r="DN44" s="58"/>
      <c r="DO44" s="58"/>
      <c r="DP44" s="58"/>
      <c r="DQ44" s="58"/>
      <c r="DR44" s="58"/>
      <c r="DS44" s="58"/>
      <c r="DT44" s="58"/>
      <c r="DU44" s="58"/>
    </row>
    <row r="45" spans="1:125" x14ac:dyDescent="0.4">
      <c r="A45" s="55"/>
      <c r="B45" s="55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8"/>
      <c r="AR45" s="58"/>
      <c r="AS45" s="58"/>
      <c r="AT45" s="58"/>
      <c r="AU45" s="58"/>
      <c r="AV45" s="58"/>
      <c r="AW45" s="58"/>
      <c r="AX45" s="58"/>
      <c r="AY45" s="58"/>
      <c r="AZ45" s="58"/>
      <c r="BA45" s="58"/>
      <c r="BB45" s="58"/>
      <c r="BC45" s="58"/>
      <c r="BD45" s="58"/>
      <c r="BE45" s="58"/>
      <c r="BF45" s="58"/>
      <c r="BG45" s="58"/>
      <c r="BH45" s="58"/>
      <c r="BI45" s="58"/>
      <c r="BJ45" s="58"/>
      <c r="BK45" s="58"/>
      <c r="BL45" s="58"/>
      <c r="BM45" s="58"/>
      <c r="BN45" s="58"/>
      <c r="BO45" s="58"/>
      <c r="BP45" s="58"/>
      <c r="BQ45" s="58"/>
      <c r="BR45" s="58"/>
      <c r="BS45" s="58"/>
      <c r="BT45" s="58"/>
      <c r="BU45" s="58"/>
      <c r="BV45" s="58"/>
      <c r="BW45" s="58"/>
      <c r="BX45" s="58"/>
      <c r="BY45" s="58"/>
      <c r="BZ45" s="58"/>
      <c r="CA45" s="58"/>
      <c r="CB45" s="58"/>
      <c r="CC45" s="58"/>
      <c r="CD45" s="58"/>
      <c r="CE45" s="58"/>
      <c r="CF45" s="58"/>
      <c r="CG45" s="58"/>
      <c r="CH45" s="58"/>
      <c r="CI45" s="58"/>
      <c r="CJ45" s="58"/>
      <c r="CK45" s="58"/>
      <c r="CL45" s="58"/>
      <c r="CM45" s="58"/>
      <c r="CN45" s="58"/>
      <c r="CO45" s="58"/>
      <c r="CP45" s="58"/>
      <c r="CQ45" s="58"/>
      <c r="CR45" s="58"/>
      <c r="CS45" s="58"/>
      <c r="CT45" s="58"/>
      <c r="CU45" s="58"/>
      <c r="CV45" s="58"/>
      <c r="CW45" s="58"/>
      <c r="CX45" s="58"/>
      <c r="CY45" s="58"/>
      <c r="CZ45" s="58"/>
      <c r="DA45" s="58"/>
      <c r="DB45" s="58"/>
      <c r="DC45" s="58"/>
      <c r="DD45" s="58"/>
      <c r="DE45" s="58"/>
      <c r="DF45" s="58"/>
      <c r="DG45" s="58"/>
      <c r="DH45" s="58"/>
      <c r="DI45" s="58"/>
      <c r="DJ45" s="58"/>
      <c r="DK45" s="58"/>
      <c r="DL45" s="58"/>
      <c r="DM45" s="58"/>
      <c r="DN45" s="58"/>
      <c r="DO45" s="58"/>
      <c r="DP45" s="58"/>
      <c r="DQ45" s="58"/>
      <c r="DR45" s="58"/>
      <c r="DS45" s="58"/>
      <c r="DT45" s="58"/>
      <c r="DU45" s="58"/>
    </row>
  </sheetData>
  <mergeCells count="7">
    <mergeCell ref="B38:G38"/>
    <mergeCell ref="B16:G16"/>
    <mergeCell ref="B20:G20"/>
    <mergeCell ref="B10:G10"/>
    <mergeCell ref="B33:P36"/>
    <mergeCell ref="B32:G32"/>
    <mergeCell ref="B26:G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251FF"/>
  </sheetPr>
  <dimension ref="A1:AF60"/>
  <sheetViews>
    <sheetView showGridLines="0" tabSelected="1" workbookViewId="0">
      <selection activeCell="C10" sqref="C10:G13"/>
    </sheetView>
  </sheetViews>
  <sheetFormatPr defaultRowHeight="13.9" x14ac:dyDescent="0.4"/>
  <cols>
    <col min="1" max="1" width="3" customWidth="1"/>
    <col min="2" max="2" width="8.46484375" customWidth="1"/>
    <col min="3" max="3" width="10.59765625" bestFit="1" customWidth="1"/>
    <col min="4" max="8" width="12" customWidth="1"/>
    <col min="9" max="9" width="18.73046875" bestFit="1" customWidth="1"/>
    <col min="10" max="17" width="12" customWidth="1"/>
    <col min="18" max="18" width="18.59765625" bestFit="1" customWidth="1"/>
    <col min="19" max="26" width="12" customWidth="1"/>
    <col min="27" max="27" width="18.33203125" bestFit="1" customWidth="1"/>
    <col min="28" max="32" width="12" customWidth="1"/>
  </cols>
  <sheetData>
    <row r="1" spans="1:32" ht="6" customHeight="1" x14ac:dyDescent="0.4">
      <c r="A1" s="54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</row>
    <row r="2" spans="1:32" ht="22.05" customHeight="1" x14ac:dyDescent="0.4">
      <c r="A2" s="54"/>
      <c r="B2" s="54"/>
      <c r="C2" s="1" t="s">
        <v>0</v>
      </c>
      <c r="D2" s="54"/>
      <c r="E2" s="54"/>
      <c r="F2" s="54"/>
      <c r="G2" s="54"/>
      <c r="H2" s="54"/>
      <c r="I2" s="1" t="s">
        <v>1</v>
      </c>
      <c r="J2" s="54"/>
      <c r="K2" s="54"/>
      <c r="L2" s="54"/>
      <c r="M2" s="54"/>
      <c r="N2" s="54"/>
      <c r="O2" s="54"/>
      <c r="P2" s="54"/>
      <c r="Q2" s="54"/>
      <c r="R2" s="1" t="s">
        <v>2</v>
      </c>
      <c r="S2" s="54"/>
      <c r="T2" s="54"/>
      <c r="U2" s="54"/>
      <c r="V2" s="54"/>
      <c r="W2" s="54"/>
      <c r="X2" s="54"/>
      <c r="Y2" s="54"/>
      <c r="Z2" s="54"/>
      <c r="AA2" s="11" t="s">
        <v>3</v>
      </c>
      <c r="AB2" s="54"/>
      <c r="AC2" s="54"/>
      <c r="AD2" s="54"/>
      <c r="AE2" s="54"/>
      <c r="AF2" s="54"/>
    </row>
    <row r="3" spans="1:32" ht="4.05" customHeight="1" x14ac:dyDescent="0.4">
      <c r="A3" s="54"/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6"/>
      <c r="AB3" s="56"/>
      <c r="AC3" s="56"/>
      <c r="AD3" s="56"/>
      <c r="AE3" s="56"/>
      <c r="AF3" s="56"/>
    </row>
    <row r="4" spans="1:32" ht="34.049999999999997" customHeight="1" x14ac:dyDescent="0.85">
      <c r="A4" s="55"/>
      <c r="B4" s="2" t="s">
        <v>146</v>
      </c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</row>
    <row r="5" spans="1:32" ht="16.05" customHeight="1" x14ac:dyDescent="0.4">
      <c r="A5" s="55"/>
      <c r="B5" s="3" t="s">
        <v>147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</row>
    <row r="6" spans="1:32" ht="8" customHeight="1" x14ac:dyDescent="0.4">
      <c r="A6" s="55"/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</row>
    <row r="7" spans="1:32" ht="22.05" customHeight="1" x14ac:dyDescent="0.5">
      <c r="A7" s="55"/>
      <c r="B7" s="50" t="s">
        <v>148</v>
      </c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55"/>
      <c r="AE7" s="55"/>
      <c r="AF7" s="55"/>
    </row>
    <row r="8" spans="1:32" ht="18" customHeight="1" x14ac:dyDescent="0.4">
      <c r="A8" s="55"/>
      <c r="B8" s="55"/>
      <c r="C8" s="48" t="s">
        <v>149</v>
      </c>
      <c r="D8" s="49"/>
      <c r="E8" s="49"/>
      <c r="F8" s="49"/>
      <c r="G8" s="49"/>
      <c r="H8" s="55"/>
      <c r="I8" s="48" t="s">
        <v>150</v>
      </c>
      <c r="J8" s="49"/>
      <c r="K8" s="49"/>
      <c r="L8" s="49"/>
      <c r="M8" s="49"/>
      <c r="N8" s="55"/>
      <c r="O8" s="48" t="s">
        <v>151</v>
      </c>
      <c r="P8" s="49"/>
      <c r="Q8" s="49"/>
      <c r="R8" s="49"/>
      <c r="S8" s="49"/>
      <c r="T8" s="55"/>
      <c r="U8" s="48" t="s">
        <v>152</v>
      </c>
      <c r="V8" s="49"/>
      <c r="W8" s="49"/>
      <c r="X8" s="49"/>
      <c r="Y8" s="49"/>
      <c r="Z8" s="55"/>
      <c r="AA8" s="48" t="s">
        <v>153</v>
      </c>
      <c r="AB8" s="49"/>
      <c r="AC8" s="49"/>
      <c r="AD8" s="49"/>
      <c r="AE8" s="49"/>
      <c r="AF8" s="55"/>
    </row>
    <row r="9" spans="1:32" ht="3" customHeight="1" x14ac:dyDescent="0.4">
      <c r="A9" s="55"/>
      <c r="B9" s="55"/>
      <c r="C9" s="56"/>
      <c r="D9" s="56"/>
      <c r="E9" s="56"/>
      <c r="F9" s="56"/>
      <c r="G9" s="56"/>
      <c r="H9" s="55"/>
      <c r="I9" s="56"/>
      <c r="J9" s="56"/>
      <c r="K9" s="56"/>
      <c r="L9" s="56"/>
      <c r="M9" s="56"/>
      <c r="N9" s="55"/>
      <c r="O9" s="56"/>
      <c r="P9" s="56"/>
      <c r="Q9" s="56"/>
      <c r="R9" s="56"/>
      <c r="S9" s="56"/>
      <c r="T9" s="55"/>
      <c r="U9" s="56"/>
      <c r="V9" s="56"/>
      <c r="W9" s="56"/>
      <c r="X9" s="56"/>
      <c r="Y9" s="56"/>
      <c r="Z9" s="55"/>
      <c r="AA9" s="56"/>
      <c r="AB9" s="56"/>
      <c r="AC9" s="56"/>
      <c r="AD9" s="56"/>
      <c r="AE9" s="56"/>
      <c r="AF9" s="55"/>
    </row>
    <row r="10" spans="1:32" ht="30" customHeight="1" x14ac:dyDescent="0.4">
      <c r="A10" s="55"/>
      <c r="B10" s="55"/>
      <c r="C10" s="52" t="str">
        <f>IFERROR(XIRR('03_Calculation_Engine'!$C$39:$DS$39,'03_Calculation_Engine'!$C$8:$DS$8),"—")</f>
        <v>—</v>
      </c>
      <c r="D10" s="49"/>
      <c r="E10" s="49"/>
      <c r="F10" s="49"/>
      <c r="G10" s="49"/>
      <c r="H10" s="55"/>
      <c r="I10" s="52" cm="1">
        <f t="array" ref="I10">IFERROR(XIRR('03_Calculation_Engine'!$C$39:$DS$39+'03_Calculation_Engine'!$C$29:$DS$29+'03_Calculation_Engine'!$C$30:$DS$30,'03_Calculation_Engine'!$C$8:$DS$8),"—")</f>
        <v>5.8986335992813098E-3</v>
      </c>
      <c r="J10" s="49"/>
      <c r="K10" s="49"/>
      <c r="L10" s="49"/>
      <c r="M10" s="49"/>
      <c r="N10" s="55"/>
      <c r="O10" s="51">
        <f>IFERROR(SUMIF('03_Calculation_Engine'!$C$39:$DS$39,"&gt;0")/ABS(SUMIF('03_Calculation_Engine'!$C$39:$DS$39,"&lt;0")),"—")</f>
        <v>0.28530056757809658</v>
      </c>
      <c r="P10" s="49"/>
      <c r="Q10" s="49"/>
      <c r="R10" s="49"/>
      <c r="S10" s="49"/>
      <c r="T10" s="55"/>
      <c r="U10" s="53" t="str" cm="1">
        <f t="array" ref="U10">IFERROR(TEXT(MIN(_xlfn.SCAN(0,'03_Calculation_Engine'!$C$39:$DS$39,_xlfn.LAMBDA(_xlpm.a,_xlpm.x,_xlpm.a+_xlpm.x))),"$#,##0"),"Req. Excel 365")</f>
        <v>-$3,604,897</v>
      </c>
      <c r="V10" s="49"/>
      <c r="W10" s="49"/>
      <c r="X10" s="49"/>
      <c r="Y10" s="49"/>
      <c r="Z10" s="55"/>
      <c r="AA10" s="53" t="str">
        <f>IF(PROJECT_TYPE=1,"Outright",IF(PROJECT_TYPE=2,"Light Refurb",IF(PROJECT_TYPE=3,"Full Dev",IF(PROJECT_TYPE=4,"Buy-to-Rent","Joint Venture"))))</f>
        <v>Buy-to-Rent</v>
      </c>
      <c r="AB10" s="49"/>
      <c r="AC10" s="49"/>
      <c r="AD10" s="49"/>
      <c r="AE10" s="49"/>
      <c r="AF10" s="55"/>
    </row>
    <row r="11" spans="1:32" ht="18" customHeight="1" x14ac:dyDescent="0.4">
      <c r="A11" s="55"/>
      <c r="B11" s="55"/>
      <c r="C11" s="49"/>
      <c r="D11" s="49"/>
      <c r="E11" s="49"/>
      <c r="F11" s="49"/>
      <c r="G11" s="49"/>
      <c r="H11" s="55"/>
      <c r="I11" s="49"/>
      <c r="J11" s="49"/>
      <c r="K11" s="49"/>
      <c r="L11" s="49"/>
      <c r="M11" s="49"/>
      <c r="N11" s="55"/>
      <c r="O11" s="49"/>
      <c r="P11" s="49"/>
      <c r="Q11" s="49"/>
      <c r="R11" s="49"/>
      <c r="S11" s="49"/>
      <c r="T11" s="55"/>
      <c r="U11" s="49"/>
      <c r="V11" s="49"/>
      <c r="W11" s="49"/>
      <c r="X11" s="49"/>
      <c r="Y11" s="49"/>
      <c r="Z11" s="55"/>
      <c r="AA11" s="49"/>
      <c r="AB11" s="49"/>
      <c r="AC11" s="49"/>
      <c r="AD11" s="49"/>
      <c r="AE11" s="49"/>
      <c r="AF11" s="55"/>
    </row>
    <row r="12" spans="1:32" ht="14" customHeight="1" x14ac:dyDescent="0.4">
      <c r="A12" s="55"/>
      <c r="B12" s="55"/>
      <c r="C12" s="49"/>
      <c r="D12" s="49"/>
      <c r="E12" s="49"/>
      <c r="F12" s="49"/>
      <c r="G12" s="49"/>
      <c r="H12" s="55"/>
      <c r="I12" s="49"/>
      <c r="J12" s="49"/>
      <c r="K12" s="49"/>
      <c r="L12" s="49"/>
      <c r="M12" s="49"/>
      <c r="N12" s="55"/>
      <c r="O12" s="49"/>
      <c r="P12" s="49"/>
      <c r="Q12" s="49"/>
      <c r="R12" s="49"/>
      <c r="S12" s="49"/>
      <c r="T12" s="55"/>
      <c r="U12" s="49"/>
      <c r="V12" s="49"/>
      <c r="W12" s="49"/>
      <c r="X12" s="49"/>
      <c r="Y12" s="49"/>
      <c r="Z12" s="55"/>
      <c r="AA12" s="49"/>
      <c r="AB12" s="49"/>
      <c r="AC12" s="49"/>
      <c r="AD12" s="49"/>
      <c r="AE12" s="49"/>
      <c r="AF12" s="55"/>
    </row>
    <row r="13" spans="1:32" ht="8" customHeight="1" x14ac:dyDescent="0.4">
      <c r="A13" s="55"/>
      <c r="B13" s="55"/>
      <c r="C13" s="49"/>
      <c r="D13" s="49"/>
      <c r="E13" s="49"/>
      <c r="F13" s="49"/>
      <c r="G13" s="49"/>
      <c r="H13" s="55"/>
      <c r="I13" s="49"/>
      <c r="J13" s="49"/>
      <c r="K13" s="49"/>
      <c r="L13" s="49"/>
      <c r="M13" s="49"/>
      <c r="N13" s="55"/>
      <c r="O13" s="49"/>
      <c r="P13" s="49"/>
      <c r="Q13" s="49"/>
      <c r="R13" s="49"/>
      <c r="S13" s="49"/>
      <c r="T13" s="55"/>
      <c r="U13" s="49"/>
      <c r="V13" s="49"/>
      <c r="W13" s="49"/>
      <c r="X13" s="49"/>
      <c r="Y13" s="49"/>
      <c r="Z13" s="55"/>
      <c r="AA13" s="49"/>
      <c r="AB13" s="49"/>
      <c r="AC13" s="49"/>
      <c r="AD13" s="49"/>
      <c r="AE13" s="49"/>
      <c r="AF13" s="55"/>
    </row>
    <row r="14" spans="1:32" ht="6" customHeight="1" x14ac:dyDescent="0.4">
      <c r="A14" s="55"/>
      <c r="B14" s="55"/>
      <c r="C14" s="57"/>
      <c r="D14" s="57"/>
      <c r="E14" s="57"/>
      <c r="F14" s="57"/>
      <c r="G14" s="57"/>
      <c r="H14" s="55"/>
      <c r="I14" s="57"/>
      <c r="J14" s="57"/>
      <c r="K14" s="57"/>
      <c r="L14" s="57"/>
      <c r="M14" s="57"/>
      <c r="N14" s="55"/>
      <c r="O14" s="57"/>
      <c r="P14" s="57"/>
      <c r="Q14" s="57"/>
      <c r="R14" s="57"/>
      <c r="S14" s="57"/>
      <c r="T14" s="55"/>
      <c r="U14" s="57"/>
      <c r="V14" s="57"/>
      <c r="W14" s="57"/>
      <c r="X14" s="57"/>
      <c r="Y14" s="57"/>
      <c r="Z14" s="55"/>
      <c r="AA14" s="57"/>
      <c r="AB14" s="57"/>
      <c r="AC14" s="57"/>
      <c r="AD14" s="57"/>
      <c r="AE14" s="57"/>
      <c r="AF14" s="55"/>
    </row>
    <row r="15" spans="1:32" ht="6" customHeight="1" x14ac:dyDescent="0.4">
      <c r="A15" s="55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</row>
    <row r="16" spans="1:32" ht="22.05" customHeight="1" x14ac:dyDescent="0.5">
      <c r="A16" s="55"/>
      <c r="B16" s="50" t="s">
        <v>154</v>
      </c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55"/>
      <c r="AE16" s="55"/>
      <c r="AF16" s="55"/>
    </row>
    <row r="17" spans="1:32" ht="252" customHeight="1" x14ac:dyDescent="0.4">
      <c r="A17" s="55"/>
      <c r="B17" s="46" t="s">
        <v>155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55"/>
      <c r="AE17" s="55"/>
      <c r="AF17" s="55"/>
    </row>
    <row r="18" spans="1:32" ht="16.05" customHeight="1" x14ac:dyDescent="0.4">
      <c r="A18" s="55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55"/>
      <c r="AE18" s="55"/>
      <c r="AF18" s="55"/>
    </row>
    <row r="19" spans="1:32" ht="16.05" customHeight="1" x14ac:dyDescent="0.4">
      <c r="A19" s="55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55"/>
      <c r="AE19" s="55"/>
      <c r="AF19" s="55"/>
    </row>
    <row r="20" spans="1:32" ht="16.05" customHeight="1" x14ac:dyDescent="0.4">
      <c r="A20" s="55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55"/>
      <c r="AE20" s="55"/>
      <c r="AF20" s="55"/>
    </row>
    <row r="21" spans="1:32" ht="16.05" customHeight="1" x14ac:dyDescent="0.4">
      <c r="A21" s="55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55"/>
      <c r="AE21" s="55"/>
      <c r="AF21" s="55"/>
    </row>
    <row r="22" spans="1:32" ht="16.05" customHeight="1" x14ac:dyDescent="0.4">
      <c r="A22" s="55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55"/>
      <c r="AE22" s="55"/>
      <c r="AF22" s="55"/>
    </row>
    <row r="23" spans="1:32" ht="16.05" customHeight="1" x14ac:dyDescent="0.4">
      <c r="A23" s="55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55"/>
      <c r="AE23" s="55"/>
      <c r="AF23" s="55"/>
    </row>
    <row r="24" spans="1:32" ht="16.05" customHeight="1" x14ac:dyDescent="0.4">
      <c r="A24" s="55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55"/>
      <c r="AE24" s="55"/>
      <c r="AF24" s="55"/>
    </row>
    <row r="25" spans="1:32" ht="16.05" customHeight="1" x14ac:dyDescent="0.4">
      <c r="A25" s="55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55"/>
      <c r="AE25" s="55"/>
      <c r="AF25" s="55"/>
    </row>
    <row r="26" spans="1:32" ht="16.05" customHeight="1" x14ac:dyDescent="0.4">
      <c r="A26" s="55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55"/>
      <c r="AE26" s="55"/>
      <c r="AF26" s="55"/>
    </row>
    <row r="27" spans="1:32" ht="16.05" customHeight="1" x14ac:dyDescent="0.4">
      <c r="A27" s="55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55"/>
      <c r="AE27" s="55"/>
      <c r="AF27" s="55"/>
    </row>
    <row r="28" spans="1:32" ht="16.05" customHeight="1" x14ac:dyDescent="0.4">
      <c r="A28" s="55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55"/>
      <c r="AE28" s="55"/>
      <c r="AF28" s="55"/>
    </row>
    <row r="29" spans="1:32" ht="16.05" customHeight="1" x14ac:dyDescent="0.4">
      <c r="A29" s="55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55"/>
      <c r="AE29" s="55"/>
      <c r="AF29" s="55"/>
    </row>
    <row r="30" spans="1:32" ht="16.05" customHeight="1" x14ac:dyDescent="0.4">
      <c r="A30" s="55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55"/>
      <c r="AE30" s="55"/>
      <c r="AF30" s="55"/>
    </row>
    <row r="31" spans="1:32" ht="16.05" customHeight="1" x14ac:dyDescent="0.4">
      <c r="A31" s="55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55"/>
      <c r="AE31" s="55"/>
      <c r="AF31" s="55"/>
    </row>
    <row r="32" spans="1:32" ht="16.05" customHeight="1" x14ac:dyDescent="0.4">
      <c r="A32" s="55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55"/>
      <c r="AE32" s="55"/>
      <c r="AF32" s="55"/>
    </row>
    <row r="33" spans="1:32" ht="16.05" customHeight="1" x14ac:dyDescent="0.4">
      <c r="A33" s="55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55"/>
      <c r="AE33" s="55"/>
      <c r="AF33" s="55"/>
    </row>
    <row r="34" spans="1:32" ht="16.05" customHeight="1" x14ac:dyDescent="0.4">
      <c r="A34" s="55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55"/>
      <c r="AE34" s="55"/>
      <c r="AF34" s="55"/>
    </row>
    <row r="35" spans="1:32" ht="6" customHeight="1" x14ac:dyDescent="0.4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</row>
    <row r="36" spans="1:32" ht="22.05" customHeight="1" x14ac:dyDescent="0.5">
      <c r="A36" s="55"/>
      <c r="B36" s="50" t="s">
        <v>156</v>
      </c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55"/>
      <c r="AE36" s="55"/>
      <c r="AF36" s="55"/>
    </row>
    <row r="37" spans="1:32" ht="252" customHeight="1" x14ac:dyDescent="0.4">
      <c r="A37" s="55"/>
      <c r="B37" s="46" t="s">
        <v>157</v>
      </c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55"/>
      <c r="AE37" s="55"/>
      <c r="AF37" s="55"/>
    </row>
    <row r="38" spans="1:32" ht="16.05" customHeight="1" x14ac:dyDescent="0.4">
      <c r="A38" s="55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55"/>
      <c r="AE38" s="55"/>
      <c r="AF38" s="55"/>
    </row>
    <row r="39" spans="1:32" ht="16.05" customHeight="1" x14ac:dyDescent="0.4">
      <c r="A39" s="55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55"/>
      <c r="AE39" s="55"/>
      <c r="AF39" s="55"/>
    </row>
    <row r="40" spans="1:32" ht="16.05" customHeight="1" x14ac:dyDescent="0.4">
      <c r="A40" s="55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55"/>
      <c r="AE40" s="55"/>
      <c r="AF40" s="55"/>
    </row>
    <row r="41" spans="1:32" ht="16.05" customHeight="1" x14ac:dyDescent="0.4">
      <c r="A41" s="55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55"/>
      <c r="AE41" s="55"/>
      <c r="AF41" s="55"/>
    </row>
    <row r="42" spans="1:32" ht="16.05" customHeight="1" x14ac:dyDescent="0.4">
      <c r="A42" s="55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55"/>
      <c r="AE42" s="55"/>
      <c r="AF42" s="55"/>
    </row>
    <row r="43" spans="1:32" ht="16.05" customHeight="1" x14ac:dyDescent="0.4">
      <c r="A43" s="55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55"/>
      <c r="AE43" s="55"/>
      <c r="AF43" s="55"/>
    </row>
    <row r="44" spans="1:32" ht="16.05" customHeight="1" x14ac:dyDescent="0.4">
      <c r="A44" s="55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55"/>
      <c r="AE44" s="55"/>
      <c r="AF44" s="55"/>
    </row>
    <row r="45" spans="1:32" ht="16.05" customHeight="1" x14ac:dyDescent="0.4">
      <c r="A45" s="55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55"/>
      <c r="AE45" s="55"/>
      <c r="AF45" s="55"/>
    </row>
    <row r="46" spans="1:32" ht="16.05" customHeight="1" x14ac:dyDescent="0.4">
      <c r="A46" s="55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55"/>
      <c r="AE46" s="55"/>
      <c r="AF46" s="55"/>
    </row>
    <row r="47" spans="1:32" ht="16.05" customHeight="1" x14ac:dyDescent="0.4">
      <c r="A47" s="55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55"/>
      <c r="AE47" s="55"/>
      <c r="AF47" s="55"/>
    </row>
    <row r="48" spans="1:32" ht="16.05" customHeight="1" x14ac:dyDescent="0.4">
      <c r="A48" s="55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55"/>
      <c r="AE48" s="55"/>
      <c r="AF48" s="55"/>
    </row>
    <row r="49" spans="1:32" ht="16.05" customHeight="1" x14ac:dyDescent="0.4">
      <c r="A49" s="55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55"/>
      <c r="AE49" s="55"/>
      <c r="AF49" s="55"/>
    </row>
    <row r="50" spans="1:32" ht="16.05" customHeight="1" x14ac:dyDescent="0.4">
      <c r="A50" s="55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55"/>
      <c r="AE50" s="55"/>
      <c r="AF50" s="55"/>
    </row>
    <row r="51" spans="1:32" ht="16.05" customHeight="1" x14ac:dyDescent="0.4">
      <c r="A51" s="55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55"/>
      <c r="AE51" s="55"/>
      <c r="AF51" s="55"/>
    </row>
    <row r="52" spans="1:32" ht="16.05" customHeight="1" x14ac:dyDescent="0.4">
      <c r="A52" s="55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55"/>
      <c r="AE52" s="55"/>
      <c r="AF52" s="55"/>
    </row>
    <row r="53" spans="1:32" ht="16.05" customHeight="1" x14ac:dyDescent="0.4">
      <c r="A53" s="55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55"/>
      <c r="AE53" s="55"/>
      <c r="AF53" s="55"/>
    </row>
    <row r="54" spans="1:32" ht="16.05" customHeight="1" x14ac:dyDescent="0.4">
      <c r="A54" s="55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55"/>
      <c r="AE54" s="55"/>
      <c r="AF54" s="55"/>
    </row>
    <row r="55" spans="1:32" x14ac:dyDescent="0.4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  <c r="AB55" s="55"/>
      <c r="AC55" s="55"/>
      <c r="AD55" s="55"/>
      <c r="AE55" s="55"/>
      <c r="AF55" s="55"/>
    </row>
    <row r="56" spans="1:32" x14ac:dyDescent="0.4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</row>
    <row r="57" spans="1:32" x14ac:dyDescent="0.4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55"/>
      <c r="AC57" s="55"/>
      <c r="AD57" s="55"/>
      <c r="AE57" s="55"/>
      <c r="AF57" s="55"/>
    </row>
    <row r="58" spans="1:32" x14ac:dyDescent="0.4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  <c r="AA58" s="55"/>
      <c r="AB58" s="55"/>
      <c r="AC58" s="55"/>
      <c r="AD58" s="55"/>
      <c r="AE58" s="55"/>
      <c r="AF58" s="55"/>
    </row>
    <row r="59" spans="1:32" x14ac:dyDescent="0.4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55"/>
      <c r="AC59" s="55"/>
      <c r="AD59" s="55"/>
      <c r="AE59" s="55"/>
      <c r="AF59" s="55"/>
    </row>
    <row r="60" spans="1:32" x14ac:dyDescent="0.4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  <c r="AA60" s="55"/>
      <c r="AB60" s="55"/>
      <c r="AC60" s="55"/>
      <c r="AD60" s="55"/>
      <c r="AE60" s="55"/>
      <c r="AF60" s="55"/>
    </row>
  </sheetData>
  <mergeCells count="15">
    <mergeCell ref="B7:AC7"/>
    <mergeCell ref="U8:Y8"/>
    <mergeCell ref="B17:AC34"/>
    <mergeCell ref="AA10:AE13"/>
    <mergeCell ref="C8:G8"/>
    <mergeCell ref="I8:M8"/>
    <mergeCell ref="B37:AC54"/>
    <mergeCell ref="AA8:AE8"/>
    <mergeCell ref="B36:AC36"/>
    <mergeCell ref="O10:S13"/>
    <mergeCell ref="C10:G13"/>
    <mergeCell ref="U10:Y13"/>
    <mergeCell ref="I10:M13"/>
    <mergeCell ref="B16:AC16"/>
    <mergeCell ref="O8:S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33</vt:i4>
      </vt:variant>
    </vt:vector>
  </HeadingPairs>
  <TitlesOfParts>
    <vt:vector size="38" baseType="lpstr">
      <vt:lpstr>START_HERE</vt:lpstr>
      <vt:lpstr>01_Setup_Scenarios</vt:lpstr>
      <vt:lpstr>02_Assumptions</vt:lpstr>
      <vt:lpstr>03_Calculation_Engine</vt:lpstr>
      <vt:lpstr>04_Summary_Dashboard</vt:lpstr>
      <vt:lpstr>ACQUISITION_COST</vt:lpstr>
      <vt:lpstr>ACQUISITION_TAX_RATE</vt:lpstr>
      <vt:lpstr>ACTIVE_SCENARIO</vt:lpstr>
      <vt:lpstr>ANNUAL_GROSS_RENT</vt:lpstr>
      <vt:lpstr>ANNUAL_RENT_INFLATION</vt:lpstr>
      <vt:lpstr>CALENDAR_DATE_RANGE</vt:lpstr>
      <vt:lpstr>CAP_RATE_SCENARIO_ADJ</vt:lpstr>
      <vt:lpstr>CAPEX_DISTRIBUTION_CURVE</vt:lpstr>
      <vt:lpstr>CAPEX_SCENARIO_MULT</vt:lpstr>
      <vt:lpstr>CAPEX_TOTAL_BUDGET</vt:lpstr>
      <vt:lpstr>DEBT_AMORTIZATION_TYPE</vt:lpstr>
      <vt:lpstr>DEBT_INTEREST_RATE</vt:lpstr>
      <vt:lpstr>DEBT_TENOR_MONTHS</vt:lpstr>
      <vt:lpstr>EXIT_CAP_RATE</vt:lpstr>
      <vt:lpstr>LOAN_BALANCE_RANGE</vt:lpstr>
      <vt:lpstr>LTV_RATIO</vt:lpstr>
      <vt:lpstr>NCF_RANGE</vt:lpstr>
      <vt:lpstr>PROJECT_START_DATE</vt:lpstr>
      <vt:lpstr>PROJECT_TYPE</vt:lpstr>
      <vt:lpstr>RENTAL_INCOME_MULT</vt:lpstr>
      <vt:lpstr>RENTAL_OPEX_PERCENT</vt:lpstr>
      <vt:lpstr>RETENTION_RATE</vt:lpstr>
      <vt:lpstr>RETENTION_RELEASE_MONTH</vt:lpstr>
      <vt:lpstr>REVENUE_SCENARIO_MULT</vt:lpstr>
      <vt:lpstr>REVOLVING_INTEREST_RATE</vt:lpstr>
      <vt:lpstr>REVOLVING_LIMIT</vt:lpstr>
      <vt:lpstr>SALE_PRICE</vt:lpstr>
      <vt:lpstr>SCENARIO_MATRIX</vt:lpstr>
      <vt:lpstr>STABILISED_OCCUPANCY</vt:lpstr>
      <vt:lpstr>TARGET_EXIT_MONTH</vt:lpstr>
      <vt:lpstr>VAT_RATE_CAPEX</vt:lpstr>
      <vt:lpstr>VAT_RATE_SALES</vt:lpstr>
      <vt:lpstr>VAT_REFUND_LAG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Hong Alex</cp:lastModifiedBy>
  <dcterms:created xsi:type="dcterms:W3CDTF">2026-06-04T00:26:42Z</dcterms:created>
  <dcterms:modified xsi:type="dcterms:W3CDTF">2026-06-10T01:21:08Z</dcterms:modified>
</cp:coreProperties>
</file>